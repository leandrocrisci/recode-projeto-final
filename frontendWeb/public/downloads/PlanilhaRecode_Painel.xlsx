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Por Região" sheetId="2" state="visible" r:id="rId2"/>
    <sheet xmlns:r="http://schemas.openxmlformats.org/officeDocument/2006/relationships" name="Avaliação Cursos" sheetId="3" state="visible" r:id="rId3"/>
    <sheet xmlns:r="http://schemas.openxmlformats.org/officeDocument/2006/relationships" name="Ranking Escola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Parâmetros" sheetId="6" state="visible" r:id="rId6"/>
    <sheet xmlns:r="http://schemas.openxmlformats.org/officeDocument/2006/relationships" name="avaliacoes-qualidade" sheetId="7" state="visible" r:id="rId7"/>
    <sheet xmlns:r="http://schemas.openxmlformats.org/officeDocument/2006/relationships" name="enderecos-escolas" sheetId="8" state="visible" r:id="rId8"/>
    <sheet xmlns:r="http://schemas.openxmlformats.org/officeDocument/2006/relationships" name="avaliacoes-cursos" sheetId="9" state="visible" r:id="rId9"/>
    <sheet xmlns:r="http://schemas.openxmlformats.org/officeDocument/2006/relationships" name="cursos" sheetId="10" state="visible" r:id="rId10"/>
    <sheet xmlns:r="http://schemas.openxmlformats.org/officeDocument/2006/relationships" name="escolas" sheetId="11" state="visible" r:id="rId11"/>
    <sheet xmlns:r="http://schemas.openxmlformats.org/officeDocument/2006/relationships" name="professores" sheetId="12" state="visible" r:id="rId12"/>
    <sheet xmlns:r="http://schemas.openxmlformats.org/officeDocument/2006/relationships" name="Planilha1" sheetId="13" state="visible" r:id="rId13"/>
  </sheets>
  <definedNames>
    <definedName name="Q_BOA">'Parâmetros'!$E$5</definedName>
    <definedName name="Q_ATENCAO">'Parâmetros'!$E$6</definedName>
    <definedName name="C_BOA">'Parâmetros'!$E$7</definedName>
    <definedName name="C_ATENCAO">'Parâmetros'!$E$8</definedName>
    <definedName name="MIN_AMOSTRA">'Parâmetros'!$E$9</definedName>
    <definedName name="DadosExternos_1" localSheetId="6" hidden="1">'avaliacoes-qualidade'!$A$1:$C$68</definedName>
    <definedName name="DadosExternos_2" localSheetId="7" hidden="1">'enderecos-escolas'!$A$1:$E$68</definedName>
    <definedName name="DadosExternos_1" localSheetId="8" hidden="1">'avaliacoes-cursos'!$A$1:$C$32</definedName>
    <definedName name="DadosExternos_1" localSheetId="9" hidden="1">'cursos'!$A$1:$E$54</definedName>
    <definedName name="DadosExternos_2" localSheetId="10" hidden="1">escolas!$A$1:$C$68</definedName>
    <definedName name="DadosExternos_1" localSheetId="11" hidden="1">professores!$A$1:$E$72</definedName>
  </definedNames>
  <calcPr calcId="19102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FBF9F-74E6-4FA5-B220-B43BD2B7DB84}" keepAlive="1" name="Consulta - avaliacoes-cursos" description="Conexão com a consulta 'avaliacoes-cursos' na pasta de trabalho." type="5" refreshedVersion="8" background="1" saveData="1">
    <dbPr connection="Provider=Microsoft.Mashup.OleDb.1;Data Source=$Workbook$;Location=avaliacoes-cursos;Extended Properties=&quot;&quot;" command="SELECT * FROM [avaliacoes-cursos]"/>
  </connection>
  <connection id="2" xr16:uid="{E5C3AF18-0914-42D9-B386-DB93283D7DE6}" keepAlive="1" name="Consulta - avaliacoes-qualidade" description="Conexão com a consulta 'avaliacoes-qualidade' na pasta de trabalho." type="5" refreshedVersion="8" background="1" saveData="1">
    <dbPr connection="Provider=Microsoft.Mashup.OleDb.1;Data Source=$Workbook$;Location=avaliacoes-qualidade;Extended Properties=&quot;&quot;" command="SELECT * FROM [avaliacoes-qualidade]"/>
  </connection>
  <connection id="3" xr16:uid="{54170C61-E0E6-4E85-A8F6-7AD9C9B90408}" keepAlive="1" name="Consulta - cursos" description="Conexão com a consulta 'cursos' na pasta de trabalho." type="5" refreshedVersion="8" background="1" saveData="1">
    <dbPr connection="Provider=Microsoft.Mashup.OleDb.1;Data Source=$Workbook$;Location=cursos;Extended Properties=&quot;&quot;" command="SELECT * FROM [cursos]"/>
  </connection>
  <connection id="4" xr16:uid="{B8C29A1D-5E47-4726-8A54-119EB266020D}" keepAlive="1" name="Consulta - enderecos-escolas" description="Conexão com a consulta 'enderecos-escolas' na pasta de trabalho." type="5" refreshedVersion="8" background="1" saveData="1">
    <dbPr connection="Provider=Microsoft.Mashup.OleDb.1;Data Source=$Workbook$;Location=enderecos-escolas;Extended Properties=&quot;&quot;" command="SELECT * FROM [enderecos-escolas]"/>
  </connection>
  <connection id="5" xr16:uid="{1163D1E3-24C5-4C7C-B6F9-7AA8646FFBD8}" keepAlive="1" name="Consulta - escolas" description="Conexão com a consulta 'escolas' na pasta de trabalho." type="5" refreshedVersion="8" background="1" saveData="1">
    <dbPr connection="Provider=Microsoft.Mashup.OleDb.1;Data Source=$Workbook$;Location=escolas;Extended Properties=&quot;&quot;" command="SELECT * FROM [escolas]"/>
  </connection>
  <connection id="6" xr16:uid="{F5377F36-3BBC-4547-BC37-5EBDCAEB207E}" keepAlive="1" name="Consulta - professores" description="Conexão com a consulta 'professores' na pasta de trabalho." type="5" refreshedVersion="8" background="1" saveData="1">
    <dbPr connection="Provider=Microsoft.Mashup.OleDb.1;Data Source=$Workbook$;Location=professores;Extended Properties=&quot;&quot;" command="SELECT * FROM [professores]"/>
  </connection>
</connections>
</file>

<file path=xl/styles.xml><?xml version="1.0" encoding="utf-8"?>
<styleSheet xmlns="http://schemas.openxmlformats.org/spreadsheetml/2006/main">
  <numFmts count="3">
    <numFmt numFmtId="164" formatCode="0.0&quot; / 5&quot;"/>
    <numFmt numFmtId="165" formatCode="0.0&quot; / 10&quot;"/>
    <numFmt numFmtId="166" formatCode="0.0"/>
  </numFmts>
  <fonts count="15">
    <font>
      <name val="Aptos Narrow"/>
      <family val="2"/>
      <color theme="1"/>
      <sz val="11"/>
      <scheme val="minor"/>
    </font>
    <font>
      <name val="Calibri"/>
      <color rgb="00242424"/>
      <sz val="12"/>
    </font>
    <font>
      <name val="Segoe UI"/>
      <b val="1"/>
      <color rgb="00FFFFFF"/>
      <sz val="36"/>
    </font>
    <font>
      <name val="Segoe UI"/>
      <color rgb="00D6E6F7"/>
      <sz val="11"/>
    </font>
    <font>
      <name val="Segoe UI"/>
      <b val="1"/>
      <color rgb="00FFFFFF"/>
      <sz val="26"/>
    </font>
    <font>
      <name val="Segoe UI"/>
      <color rgb="00E6F0FA"/>
      <sz val="12"/>
    </font>
    <font>
      <name val="Segoe UI"/>
      <b val="1"/>
      <color rgb="00FFFFFF"/>
      <sz val="12"/>
    </font>
    <font>
      <name val="Segoe UI"/>
      <color rgb="00242424"/>
      <sz val="12"/>
    </font>
    <font>
      <name val="Segoe UI"/>
      <b val="1"/>
      <color rgb="000F6CBD"/>
      <sz val="12"/>
    </font>
    <font>
      <name val="Segoe UI"/>
      <i val="1"/>
      <color rgb="00616161"/>
      <sz val="11"/>
    </font>
    <font>
      <name val="Segoe UI"/>
      <b val="1"/>
      <color rgb="00616161"/>
      <sz val="12"/>
    </font>
    <font>
      <name val="Segoe UI"/>
      <b val="1"/>
      <color rgb="00242424"/>
      <sz val="30"/>
    </font>
    <font>
      <name val="Segoe UI"/>
      <color rgb="00616161"/>
      <sz val="11"/>
    </font>
    <font>
      <name val="Segoe UI"/>
      <color rgb="00616161"/>
      <sz val="12"/>
    </font>
    <font>
      <name val="Segoe UI"/>
      <b val="1"/>
      <color rgb="000F6CBD"/>
      <sz val="16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6CBD"/>
        <bgColor rgb="000F6CBD"/>
      </patternFill>
    </fill>
    <fill>
      <patternFill patternType="solid">
        <fgColor rgb="00C5192D"/>
        <bgColor rgb="00C5192D"/>
      </patternFill>
    </fill>
    <fill>
      <patternFill patternType="solid">
        <fgColor rgb="00EBF3FC"/>
        <bgColor rgb="00EBF3FC"/>
      </patternFill>
    </fill>
  </fills>
  <borders count="2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  <border>
      <left style="medium">
        <color rgb="000F6CBD"/>
      </left>
      <top style="thin">
        <color rgb="00D1D1D1"/>
      </top>
    </border>
    <border>
      <top style="thin">
        <color rgb="00D1D1D1"/>
      </top>
    </border>
    <border>
      <right style="thin">
        <color rgb="00D1D1D1"/>
      </right>
      <top style="thin">
        <color rgb="00D1D1D1"/>
      </top>
    </border>
    <border>
      <left style="medium">
        <color rgb="000F6CBD"/>
      </left>
    </border>
    <border/>
    <border>
      <right style="thin">
        <color rgb="00D1D1D1"/>
      </right>
    </border>
    <border>
      <left style="medium">
        <color rgb="000F6CBD"/>
      </left>
      <bottom style="thin">
        <color rgb="00D1D1D1"/>
      </bottom>
    </border>
    <border>
      <bottom style="thin">
        <color rgb="00D1D1D1"/>
      </bottom>
    </border>
    <border>
      <right style="thin">
        <color rgb="00D1D1D1"/>
      </right>
      <bottom style="thin">
        <color rgb="00D1D1D1"/>
      </bottom>
    </border>
    <border>
      <left style="medium">
        <color rgb="000F6CBD"/>
      </left>
      <right style="thin">
        <color rgb="00D1D1D1"/>
      </right>
      <top style="thin">
        <color rgb="00D1D1D1"/>
      </top>
    </border>
    <border>
      <left/>
      <right/>
      <top style="thin">
        <color rgb="00D1D1D1"/>
      </top>
      <bottom/>
      <diagonal/>
    </border>
    <border>
      <left/>
      <right style="thin">
        <color rgb="00D1D1D1"/>
      </right>
      <top style="thin">
        <color rgb="00D1D1D1"/>
      </top>
      <bottom/>
      <diagonal/>
    </border>
    <border>
      <left style="medium">
        <color rgb="000F6CBD"/>
      </left>
      <right style="thin">
        <color rgb="00D1D1D1"/>
      </right>
    </border>
    <border>
      <left style="medium">
        <color rgb="000F6CBD"/>
      </left>
      <right/>
      <top/>
      <bottom/>
      <diagonal/>
    </border>
    <border>
      <left/>
      <right style="thin">
        <color rgb="00D1D1D1"/>
      </right>
      <top/>
      <bottom/>
      <diagonal/>
    </border>
    <border>
      <left style="medium">
        <color rgb="000F6CBD"/>
      </left>
      <right style="thin">
        <color rgb="00D1D1D1"/>
      </right>
      <bottom style="thin">
        <color rgb="00D1D1D1"/>
      </bottom>
    </border>
    <border>
      <left/>
      <right/>
      <top/>
      <bottom style="thin">
        <color rgb="00D1D1D1"/>
      </bottom>
      <diagonal/>
    </border>
    <border>
      <left/>
      <right style="thin">
        <color rgb="00D1D1D1"/>
      </right>
      <top/>
      <bottom style="thin">
        <color rgb="00D1D1D1"/>
      </bottom>
      <diagonal/>
    </border>
    <border>
      <left/>
      <right style="thin">
        <color rgb="00D1D1D1"/>
      </right>
      <top style="thin">
        <color rgb="00D1D1D1"/>
      </top>
      <bottom style="thin">
        <color rgb="00D1D1D1"/>
      </bottom>
      <diagonal/>
    </border>
    <border>
      <left/>
      <right/>
      <top style="thin">
        <color rgb="00D1D1D1"/>
      </top>
      <bottom style="thin">
        <color rgb="00D1D1D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bottom" indent="1"/>
    </xf>
    <xf numFmtId="0" fontId="1" fillId="3" borderId="0" pivotButton="0" quotePrefix="0" xfId="0"/>
    <xf numFmtId="0" fontId="4" fillId="3" borderId="0" applyAlignment="1" pivotButton="0" quotePrefix="0" xfId="0">
      <alignment vertical="center" indent="1"/>
    </xf>
    <xf numFmtId="0" fontId="5" fillId="3" borderId="0" applyAlignment="1" pivotButton="0" quotePrefix="0" xfId="0">
      <alignment vertical="top" indent="1"/>
    </xf>
    <xf numFmtId="0" fontId="10" fillId="2" borderId="1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1" fontId="11" fillId="2" borderId="14" applyAlignment="1" pivotButton="0" quotePrefix="0" xfId="0">
      <alignment horizontal="left" vertical="center" indent="1"/>
    </xf>
    <xf numFmtId="0" fontId="0" fillId="0" borderId="16" pivotButton="0" quotePrefix="0" xfId="0"/>
    <xf numFmtId="164" fontId="11" fillId="2" borderId="14" applyAlignment="1" pivotButton="0" quotePrefix="0" xfId="0">
      <alignment horizontal="left" vertical="center" indent="1"/>
    </xf>
    <xf numFmtId="165" fontId="11" fillId="2" borderId="14" applyAlignment="1" pivotButton="0" quotePrefix="0" xfId="0">
      <alignment horizontal="left" vertical="center" indent="1"/>
    </xf>
    <xf numFmtId="0" fontId="0" fillId="0" borderId="15" pivotButton="0" quotePrefix="0" xfId="0"/>
    <xf numFmtId="0" fontId="12" fillId="2" borderId="17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9" fontId="11" fillId="2" borderId="14" applyAlignment="1" pivotButton="0" quotePrefix="0" xfId="0">
      <alignment horizontal="left" vertical="center" indent="1"/>
    </xf>
    <xf numFmtId="0" fontId="1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0" pivotButton="0" quotePrefix="0" xfId="0"/>
    <xf numFmtId="0" fontId="7" fillId="2" borderId="1" pivotButton="0" quotePrefix="0" xfId="0"/>
    <xf numFmtId="166" fontId="7" fillId="2" borderId="1" applyAlignment="1" pivotButton="0" quotePrefix="0" xfId="0">
      <alignment horizontal="center"/>
    </xf>
    <xf numFmtId="0" fontId="9" fillId="2" borderId="0" pivotButton="0" quotePrefix="0" xfId="0"/>
    <xf numFmtId="0" fontId="12" fillId="2" borderId="0" applyAlignment="1" pivotButton="0" quotePrefix="0" xfId="0">
      <alignment horizontal="center"/>
    </xf>
    <xf numFmtId="1" fontId="7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166" fontId="12" fillId="2" borderId="0" applyAlignment="1" pivotButton="0" quotePrefix="0" xfId="0">
      <alignment horizontal="center"/>
    </xf>
    <xf numFmtId="0" fontId="9" fillId="2" borderId="0" applyAlignment="1" pivotButton="0" quotePrefix="0" xfId="0">
      <alignment vertical="top" wrapText="1"/>
    </xf>
    <xf numFmtId="0" fontId="10" fillId="2" borderId="0" pivotButton="0" quotePrefix="0" xfId="0"/>
    <xf numFmtId="0" fontId="8" fillId="5" borderId="1" pivotButton="0" quotePrefix="0" xfId="0"/>
    <xf numFmtId="0" fontId="13" fillId="2" borderId="0" pivotButton="0" quotePrefix="0" xfId="0"/>
    <xf numFmtId="0" fontId="8" fillId="5" borderId="1" applyAlignment="1" pivotButton="0" quotePrefix="0" xfId="0">
      <alignment horizontal="center"/>
    </xf>
  </cellXfs>
  <cellStyles count="1">
    <cellStyle name="Normal" xfId="0" builtinId="0"/>
  </cellStyles>
  <dxfs count="6">
    <dxf>
      <font>
        <name val="Segoe UI"/>
        <b val="1"/>
        <color rgb="00107C10"/>
        <sz val="30"/>
      </font>
    </dxf>
    <dxf>
      <font>
        <name val="Segoe UI"/>
        <b val="1"/>
        <color rgb="009D5D00"/>
        <sz val="30"/>
      </font>
    </dxf>
    <dxf>
      <font>
        <name val="Segoe UI"/>
        <b val="1"/>
        <color rgb="00C50F1F"/>
        <sz val="30"/>
      </font>
    </dxf>
    <dxf>
      <font>
        <name val="Segoe UI"/>
        <b val="1"/>
        <color rgb="00107C10"/>
      </font>
    </dxf>
    <dxf>
      <font>
        <name val="Segoe UI"/>
        <b val="1"/>
        <color rgb="009D5D00"/>
      </font>
    </dxf>
    <dxf>
      <font>
        <name val="Segoe UI"/>
        <b val="1"/>
        <color rgb="00C50F1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Relationship Type="http://schemas.openxmlformats.org/officeDocument/2006/relationships/connections" Target="connections.xml" Id="rIdPQ1"/><Relationship Type="http://schemas.openxmlformats.org/officeDocument/2006/relationships/customXml" Target="../customXml/item1.xml" Id="rIdPQ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F6CBD"/>
                </a:solidFill>
              </a:defRPr>
            </a:pPr>
            <a:r>
              <a:rPr sz="1400" b="1">
                <a:solidFill>
                  <a:srgbClr val="0F6CBD"/>
                </a:solidFill>
              </a:rPr>
              <a:t>Média de qualidade por região (1–5)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'Por Região'!D4</f>
            </strRef>
          </tx>
          <spPr>
            <a:solidFill xmlns:a="http://schemas.openxmlformats.org/drawingml/2006/main">
              <a:srgbClr val="0F6CBD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242424"/>
                    </a:solidFill>
                  </a:defRPr>
                </a:pPr>
                <a:r>
                  <a:t/>
                </a:r>
                <a:endParaRPr sz="1200" b="1">
                  <a:solidFill>
                    <a:srgbClr val="24242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'Por Região'!$B$5:$B$9</f>
            </numRef>
          </cat>
          <val>
            <numRef>
              <f>'Por Região'!$D$5:$D$9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1D1D1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F6CBD"/>
                </a:solidFill>
              </a:defRPr>
            </a:pPr>
            <a:r>
              <a:rPr sz="1400" b="1">
                <a:solidFill>
                  <a:srgbClr val="0F6CBD"/>
                </a:solidFill>
              </a:rPr>
              <a:t>Quantas escolas em cada nota (1–5)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'Calc'!U1</f>
            </strRef>
          </tx>
          <spPr>
            <a:solidFill xmlns:a="http://schemas.openxmlformats.org/drawingml/2006/main">
              <a:srgbClr val="0F6CBD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242424"/>
                    </a:solidFill>
                  </a:defRPr>
                </a:pPr>
                <a:r>
                  <a:t/>
                </a:r>
                <a:endParaRPr sz="1200" b="1">
                  <a:solidFill>
                    <a:srgbClr val="24242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'Calc'!$T$2:$T$6</f>
            </numRef>
          </cat>
          <val>
            <numRef>
              <f>'Calc'!$U$2:$U$6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1D1D1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F6CBD"/>
                </a:solidFill>
              </a:defRPr>
            </a:pPr>
            <a:r>
              <a:rPr sz="1400" b="1">
                <a:solidFill>
                  <a:srgbClr val="0F6CBD"/>
                </a:solidFill>
              </a:rPr>
              <a:t>Média de avaliação por região (linha laranja = média geral)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'Por Região'!D4</f>
            </strRef>
          </tx>
          <spPr>
            <a:solidFill xmlns:a="http://schemas.openxmlformats.org/drawingml/2006/main">
              <a:srgbClr val="0F6CBD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242424"/>
                    </a:solidFill>
                  </a:defRPr>
                </a:pPr>
                <a:r>
                  <a:t/>
                </a:r>
                <a:endParaRPr sz="1200" b="1">
                  <a:solidFill>
                    <a:srgbClr val="24242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'Por Região'!$B$5:$B$9</f>
            </numRef>
          </cat>
          <val>
            <numRef>
              <f>'Por Região'!$D$5:$D$9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'Por Região'!H4</f>
            </strRef>
          </tx>
          <spPr>
            <a:ln xmlns:a="http://schemas.openxmlformats.org/drawingml/2006/main" w="38100">
              <a:solidFill>
                <a:srgbClr val="BC4B0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'Por Região'!$H$5:$H$9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"/>
        <majorUnit val="1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1200" b="0">
              <a:solidFill>
                <a:srgbClr val="242424"/>
              </a:solidFill>
            </a:defRPr>
          </a:pPr>
          <a:r>
            <a:t/>
          </a:r>
          <a:endParaRPr sz="1200" b="0">
            <a:solidFill>
              <a:srgbClr val="242424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1D1D1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F6CBD"/>
                </a:solidFill>
              </a:defRPr>
            </a:pPr>
            <a:r>
              <a:rPr sz="1400" b="1">
                <a:solidFill>
                  <a:srgbClr val="0F6CBD"/>
                </a:solidFill>
              </a:rPr>
              <a:t>Os 10 primeiros da ordem escolhida (nota 0–10)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'Avaliação Cursos'!E6</f>
            </strRef>
          </tx>
          <spPr>
            <a:solidFill xmlns:a="http://schemas.openxmlformats.org/drawingml/2006/main">
              <a:srgbClr val="0F6CBD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242424"/>
                    </a:solidFill>
                  </a:defRPr>
                </a:pPr>
                <a:r>
                  <a:t/>
                </a:r>
                <a:endParaRPr sz="1200" b="1">
                  <a:solidFill>
                    <a:srgbClr val="24242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'Avaliação Cursos'!$C$7:$C$16</f>
            </numRef>
          </cat>
          <val>
            <numRef>
              <f>'Avaliação Cursos'!$E$7:$E$16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1D1D1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F6CBD"/>
                </a:solidFill>
              </a:defRPr>
            </a:pPr>
            <a:r>
              <a:rPr sz="1400" b="1">
                <a:solidFill>
                  <a:srgbClr val="0F6CBD"/>
                </a:solidFill>
              </a:rPr>
              <a:t>As 10 primeiras escolas da seleção (nota 1–5)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'Ranking Escolas'!G7</f>
            </strRef>
          </tx>
          <spPr>
            <a:solidFill xmlns:a="http://schemas.openxmlformats.org/drawingml/2006/main">
              <a:srgbClr val="0F6CBD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242424"/>
                    </a:solidFill>
                  </a:defRPr>
                </a:pPr>
                <a:r>
                  <a:t/>
                </a:r>
                <a:endParaRPr sz="1200" b="1">
                  <a:solidFill>
                    <a:srgbClr val="24242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'Ranking Escolas'!$C$8:$C$17</f>
            </numRef>
          </cat>
          <val>
            <numRef>
              <f>'Ranking Escolas'!$G$8:$G$17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242424"/>
                </a:solidFill>
              </a:defRPr>
            </a:pPr>
            <a:r>
              <a:t/>
            </a:r>
            <a:endParaRPr sz="1200" b="0">
              <a:solidFill>
                <a:srgbClr val="242424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1D1D1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5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55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5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9B88BD6-004E-4253-AF11-6BFE31983338}" autoFormatId="16" applyNumberFormats="0" applyBorderFormats="0" applyFontFormats="0" applyPatternFormats="0" applyAlignmentFormats="0" applyWidthHeightFormats="0">
  <queryTableRefresh nextId="4">
    <queryTableFields count="3">
      <queryTableField id="1" name="escola" tableColumnId="1"/>
      <queryTableField id="2" name="Nota média" tableColumnId="2"/>
      <queryTableField id="3" name="Avaliaçõ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056CFE89-7CCA-4515-BE60-AEC2F9492C3D}" autoFormatId="16" applyNumberFormats="0" applyBorderFormats="0" applyFontFormats="0" applyPatternFormats="0" applyAlignmentFormats="0" applyWidthHeightFormats="0">
  <queryTableRefresh nextId="7">
    <queryTableFields count="5">
      <queryTableField id="2" name="id" tableColumnId="1"/>
      <queryTableField id="3" name="cidade" tableColumnId="2"/>
      <queryTableField id="4" name="estado" tableColumnId="3"/>
      <queryTableField id="5" name="tipoLocalizacao" tableColumnId="4"/>
      <queryTableField id="6" name="escol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DAD64A-101C-4A81-A7DE-53BE1D97864C}" autoFormatId="16" applyNumberFormats="0" applyBorderFormats="0" applyFontFormats="0" applyPatternFormats="0" applyAlignmentFormats="0" applyWidthHeightFormats="0">
  <queryTableRefresh nextId="4">
    <queryTableFields count="3">
      <queryTableField id="1" name="curso" tableColumnId="1"/>
      <queryTableField id="2" name="escola" tableColumnId="2"/>
      <queryTableField id="3" name="Nota média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1823FAB-CB5E-4249-889C-A58C66C103D9}" autoFormatId="16" applyNumberFormats="0" applyBorderFormats="0" applyFontFormats="0" applyPatternFormats="0" applyAlignmentFormats="0" applyWidthHeightFormats="0">
  <queryTableRefresh nextId="7">
    <queryTableFields count="5">
      <queryTableField id="2" name="id" tableColumnId="1"/>
      <queryTableField id="3" name="nome" tableColumnId="2"/>
      <queryTableField id="4" name="descricao" tableColumnId="3"/>
      <queryTableField id="5" name="cargaHoraria" tableColumnId="4"/>
      <queryTableField id="6" name="escola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9853FF62-22D9-47B1-9C86-355EBC9C67A0}" autoFormatId="16" applyNumberFormats="0" applyBorderFormats="0" applyFontFormats="0" applyPatternFormats="0" applyAlignmentFormats="0" applyWidthHeightFormats="0">
  <queryTableRefresh nextId="5">
    <queryTableFields count="3">
      <queryTableField id="2" name="Column1.id" tableColumnId="1"/>
      <queryTableField id="3" name="Column1.nome" tableColumnId="2"/>
      <queryTableField id="4" name="Column1.tipo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61905491-23AA-4450-B8C2-79A5170FF79B}" autoFormatId="16" applyNumberFormats="0" applyBorderFormats="0" applyFontFormats="0" applyPatternFormats="0" applyAlignmentFormats="0" applyWidthHeightFormats="0">
  <queryTableRefresh nextId="7">
    <queryTableFields count="5">
      <queryTableField id="2" name="Column1.id" tableColumnId="1"/>
      <queryTableField id="3" name="Column1.nome" tableColumnId="2"/>
      <queryTableField id="4" name="Column1.especialidade" tableColumnId="3"/>
      <queryTableField id="5" name="Column1.biografia" tableColumnId="4"/>
      <queryTableField id="6" name="Column1.escol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avaliacoes_qualidade" displayName="avaliacoes_qualidade" ref="A1:C68" tableType="queryTable" headerRowCount="1" totalsRowShown="0">
  <autoFilter ref="A1:C68"/>
  <tableColumns count="3">
    <tableColumn id="1" uniqueName="1" name="escola" queryTableFieldId="1"/>
    <tableColumn id="2" uniqueName="2" name="Nota média" queryTableFieldId="2"/>
    <tableColumn id="3" uniqueName="3" name="Avaliaçõ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enderecos_escolas" displayName="enderecos_escolas" ref="A1:E68" tableType="queryTable" headerRowCount="1" totalsRowShown="0">
  <autoFilter ref="A1:E68"/>
  <tableColumns count="5">
    <tableColumn id="1" uniqueName="1" name="id" queryTableFieldId="2"/>
    <tableColumn id="2" uniqueName="2" name="cidade" queryTableFieldId="3"/>
    <tableColumn id="3" uniqueName="3" name="estado" queryTableFieldId="4"/>
    <tableColumn id="4" uniqueName="4" name="tipoLocalizacao" queryTableFieldId="5"/>
    <tableColumn id="5" uniqueName="5" name="escola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avaliacoes_cursos" displayName="avaliacoes_cursos" ref="A1:C32" tableType="queryTable" headerRowCount="1" totalsRowShown="0">
  <autoFilter ref="A1:C32"/>
  <tableColumns count="3">
    <tableColumn id="1" uniqueName="1" name="curso" queryTableFieldId="1"/>
    <tableColumn id="2" uniqueName="2" name="escola" queryTableFieldId="2"/>
    <tableColumn id="3" uniqueName="3" name="Nota média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cursos" displayName="cursos" ref="A1:E54" tableType="queryTable" headerRowCount="1" totalsRowShown="0">
  <autoFilter ref="A1:E54"/>
  <tableColumns count="5">
    <tableColumn id="1" uniqueName="1" name="id" queryTableFieldId="2"/>
    <tableColumn id="2" uniqueName="2" name="nome" queryTableFieldId="3"/>
    <tableColumn id="3" uniqueName="3" name="descricao" queryTableFieldId="4"/>
    <tableColumn id="4" uniqueName="4" name="cargaHoraria" queryTableFieldId="5"/>
    <tableColumn id="5" uniqueName="5" name="escola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escolas" displayName="escolas" ref="A1:C68" tableType="queryTable" headerRowCount="1" totalsRowShown="0">
  <autoFilter ref="A1:C68"/>
  <tableColumns count="3">
    <tableColumn id="1" uniqueName="1" name="Column1.id" queryTableFieldId="2"/>
    <tableColumn id="2" uniqueName="2" name="Column1.nome" queryTableFieldId="3"/>
    <tableColumn id="3" uniqueName="3" name="Column1.tipo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professores" displayName="professores" ref="A1:E72" tableType="queryTable" headerRowCount="1" totalsRowShown="0">
  <autoFilter ref="A1:E72"/>
  <tableColumns count="5">
    <tableColumn id="1" uniqueName="1" name="Column1.id" queryTableFieldId="2"/>
    <tableColumn id="2" uniqueName="2" name="Column1.nome" queryTableFieldId="3"/>
    <tableColumn id="3" uniqueName="3" name="Column1.especialidade" queryTableFieldId="4"/>
    <tableColumn id="4" uniqueName="4" name="Column1.biografia" queryTableFieldId="5"/>
    <tableColumn id="5" uniqueName="5" name="Column1.escol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F6CBD"/>
    <outlinePr summaryBelow="1" summaryRight="1"/>
    <pageSetUpPr fitToPage="1"/>
  </sheetPr>
  <dimension ref="A1:N6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</cols>
  <sheetData>
    <row r="1" ht="22" customHeight="1">
      <c r="A1" s="1" t="n"/>
      <c r="B1" s="2" t="inlineStr">
        <is>
          <t>4</t>
        </is>
      </c>
      <c r="C1" s="3" t="inlineStr">
        <is>
          <t>Objetivo de Desenvolvimento Sustentável 4 · Agenda 2030 da ONU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1" t="n"/>
    </row>
    <row r="2" ht="42" customHeight="1">
      <c r="A2" s="1" t="n"/>
      <c r="C2" s="5" t="inlineStr">
        <is>
          <t>Educação de Qualidade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1" t="n"/>
    </row>
    <row r="3" ht="24" customHeight="1">
      <c r="A3" s="1" t="n"/>
      <c r="C3" s="6" t="inlineStr">
        <is>
          <t>Recode — Avaliação Escolas: indicadores lidos das APIs públicas. Use Dados → Atualizar Tudo para atualizar.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1" t="n"/>
    </row>
    <row r="4" ht="22" customHeight="1">
      <c r="A4" s="1" t="n"/>
      <c r="B4" s="7" t="inlineStr">
        <is>
          <t>Escolas cadastradas</t>
        </is>
      </c>
      <c r="C4" s="8" t="n"/>
      <c r="D4" s="9" t="n"/>
      <c r="E4" s="7" t="inlineStr">
        <is>
          <t>Escolas avaliadas</t>
        </is>
      </c>
      <c r="F4" s="8" t="n"/>
      <c r="G4" s="9" t="n"/>
      <c r="H4" s="7" t="inlineStr">
        <is>
          <t>KPI · Média das avaliações de qualidade</t>
        </is>
      </c>
      <c r="I4" s="8" t="n"/>
      <c r="J4" s="9" t="n"/>
      <c r="K4" s="7" t="inlineStr">
        <is>
          <t>KPI · Média das avaliações dos cursos</t>
        </is>
      </c>
      <c r="L4" s="8" t="n"/>
      <c r="M4" s="9" t="n"/>
      <c r="N4" s="1" t="n"/>
    </row>
    <row r="5" ht="26" customHeight="1">
      <c r="A5" s="1" t="n"/>
      <c r="B5" s="10">
        <f>ROWS(escolas[Column1.id])</f>
        <v/>
      </c>
      <c r="D5" s="11" t="n"/>
      <c r="E5" s="10">
        <f>COUNT(avaliacoes_qualidade[Nota média])</f>
        <v/>
      </c>
      <c r="G5" s="11" t="n"/>
      <c r="H5" s="12">
        <f>IFERROR(AVERAGE(avaliacoes_qualidade[Nota média]),"—")</f>
        <v/>
      </c>
      <c r="J5" s="11" t="n"/>
      <c r="K5" s="13">
        <f>IFERROR(AVERAGE(avaliacoes_cursos[Nota média]),"—")</f>
        <v/>
      </c>
      <c r="M5" s="11" t="n"/>
      <c r="N5" s="1" t="n"/>
    </row>
    <row r="6" ht="26" customHeight="1">
      <c r="A6" s="1" t="n"/>
      <c r="B6" s="14" t="n"/>
      <c r="D6" s="11" t="n"/>
      <c r="E6" s="14" t="n"/>
      <c r="G6" s="11" t="n"/>
      <c r="H6" s="14" t="n"/>
      <c r="J6" s="11" t="n"/>
      <c r="K6" s="14" t="n"/>
      <c r="M6" s="11" t="n"/>
      <c r="N6" s="1" t="n"/>
    </row>
    <row r="7" ht="22" customHeight="1">
      <c r="A7" s="1" t="n"/>
      <c r="B7" s="15">
        <f>"todas as dependências administrativas"</f>
        <v/>
      </c>
      <c r="C7" s="16" t="n"/>
      <c r="D7" s="17" t="n"/>
      <c r="E7" s="15">
        <f>"de "&amp;ROWS(escolas[Column1.id])&amp;" cadastradas ("&amp;TEXT(COUNT(avaliacoes_qualidade[Nota média])/ROWS(escolas[Column1.id]),"0%")&amp;")"</f>
        <v/>
      </c>
      <c r="F7" s="16" t="n"/>
      <c r="G7" s="17" t="n"/>
      <c r="H7" s="15">
        <f>"Faixa: "&amp;IF(ISNUMBER(H5),IF(H5&gt;=Q_BOA,"Boa",IF(H5&gt;=Q_ATENCAO,"Atenção","Crítica")),"—")</f>
        <v/>
      </c>
      <c r="I7" s="16" t="n"/>
      <c r="J7" s="17" t="n"/>
      <c r="K7" s="15">
        <f>"Faixa: "&amp;IF(ISNUMBER(K5),IF(K5&gt;=C_BOA,"Boa",IF(K5&gt;=C_ATENCAO,"Atenção","Crítica")),"—")</f>
        <v/>
      </c>
      <c r="L7" s="16" t="n"/>
      <c r="M7" s="17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2" customHeight="1">
      <c r="A9" s="1" t="n"/>
      <c r="B9" s="7" t="inlineStr">
        <is>
          <t>Total de avaliações de qualidade</t>
        </is>
      </c>
      <c r="C9" s="8" t="n"/>
      <c r="D9" s="9" t="n"/>
      <c r="E9" s="7" t="inlineStr">
        <is>
          <t>Escolas com nota boa</t>
        </is>
      </c>
      <c r="F9" s="8" t="n"/>
      <c r="G9" s="9" t="n"/>
      <c r="H9" s="7" t="inlineStr">
        <is>
          <t>Professores cadastrados</t>
        </is>
      </c>
      <c r="I9" s="8" t="n"/>
      <c r="J9" s="9" t="n"/>
      <c r="K9" s="7" t="inlineStr">
        <is>
          <t>Cursos avaliados</t>
        </is>
      </c>
      <c r="L9" s="8" t="n"/>
      <c r="M9" s="9" t="n"/>
      <c r="N9" s="1" t="n"/>
    </row>
    <row r="10" ht="26" customHeight="1">
      <c r="A10" s="1" t="n"/>
      <c r="B10" s="10">
        <f>SUM(avaliacoes_qualidade[Avaliações])</f>
        <v/>
      </c>
      <c r="D10" s="11" t="n"/>
      <c r="E10" s="18">
        <f>IFERROR(COUNTIF(avaliacoes_qualidade[Nota média],"&gt;="&amp;Q_BOA)/COUNT(avaliacoes_qualidade[Nota média]),"—")</f>
        <v/>
      </c>
      <c r="G10" s="11" t="n"/>
      <c r="H10" s="10">
        <f>ROWS(professores[Column1.id])</f>
        <v/>
      </c>
      <c r="J10" s="11" t="n"/>
      <c r="K10" s="10">
        <f>COUNT(avaliacoes_cursos[Nota média])</f>
        <v/>
      </c>
      <c r="M10" s="11" t="n"/>
      <c r="N10" s="1" t="n"/>
    </row>
    <row r="11" ht="26" customHeight="1">
      <c r="A11" s="1" t="n"/>
      <c r="B11" s="14" t="n"/>
      <c r="D11" s="11" t="n"/>
      <c r="E11" s="14" t="n"/>
      <c r="G11" s="11" t="n"/>
      <c r="H11" s="14" t="n"/>
      <c r="J11" s="11" t="n"/>
      <c r="K11" s="14" t="n"/>
      <c r="M11" s="11" t="n"/>
      <c r="N11" s="1" t="n"/>
    </row>
    <row r="12" ht="22" customHeight="1">
      <c r="A12" s="1" t="n"/>
      <c r="B12" s="15">
        <f>"notas registradas nas escolas"</f>
        <v/>
      </c>
      <c r="C12" s="16" t="n"/>
      <c r="D12" s="17" t="n"/>
      <c r="E12" s="15">
        <f>"nota de "&amp;Q_BOA&amp;" ou mais, entre as avaliadas"</f>
        <v/>
      </c>
      <c r="F12" s="16" t="n"/>
      <c r="G12" s="17" t="n"/>
      <c r="H12" s="15">
        <f>"corpo docente da rede"</f>
        <v/>
      </c>
      <c r="I12" s="16" t="n"/>
      <c r="J12" s="17" t="n"/>
      <c r="K12" s="15">
        <f>"de "&amp;ROWS(cursos[id])&amp;" cursos cadastrados"</f>
        <v/>
      </c>
      <c r="L12" s="16" t="n"/>
      <c r="M12" s="17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9" t="inlineStr">
        <is>
          <t>Destaques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20" t="inlineStr">
        <is>
          <t>Indicador</t>
        </is>
      </c>
      <c r="C36" s="21" t="n"/>
      <c r="D36" s="22" t="n"/>
      <c r="E36" s="20" t="inlineStr">
        <is>
          <t>Nome</t>
        </is>
      </c>
      <c r="F36" s="21" t="n"/>
      <c r="G36" s="21" t="n"/>
      <c r="H36" s="21" t="n"/>
      <c r="I36" s="22" t="n"/>
      <c r="J36" s="20" t="inlineStr">
        <is>
          <t>Nota</t>
        </is>
      </c>
      <c r="K36" s="20" t="inlineStr">
        <is>
          <t>Observação</t>
        </is>
      </c>
      <c r="L36" s="21" t="n"/>
      <c r="M36" s="22" t="n"/>
      <c r="N36" s="1" t="n"/>
    </row>
    <row r="37">
      <c r="A37" s="1" t="n"/>
      <c r="B37" s="23" t="inlineStr">
        <is>
          <t>Maior nota de escola</t>
        </is>
      </c>
      <c r="C37" s="23" t="n"/>
      <c r="D37" s="23" t="n"/>
      <c r="E37" s="23">
        <f>INDEX(Calc!$B$2:$B$301,MATCH(MAX(Calc!$C$2:$C$301),Calc!$C$2:$C$301,0))</f>
        <v/>
      </c>
      <c r="F37" s="23" t="n"/>
      <c r="G37" s="23" t="n"/>
      <c r="H37" s="23" t="n"/>
      <c r="I37" s="23" t="n"/>
      <c r="J37" s="24">
        <f>MAX(Calc!$C$2:$C$301)</f>
        <v/>
      </c>
      <c r="K37" s="23">
        <f>COUNTIF(Calc!$C$2:$C$301,MAX(Calc!$C$2:$C$301))&amp;" escola(s) com esta nota"</f>
        <v/>
      </c>
      <c r="L37" s="23" t="n"/>
      <c r="M37" s="23" t="n"/>
      <c r="N37" s="1" t="n"/>
    </row>
    <row r="38">
      <c r="A38" s="1" t="n"/>
      <c r="B38" s="23" t="inlineStr">
        <is>
          <t>Menor nota de escola</t>
        </is>
      </c>
      <c r="C38" s="23" t="n"/>
      <c r="D38" s="23" t="n"/>
      <c r="E38" s="23">
        <f>INDEX(Calc!$B$2:$B$301,MATCH(MIN(Calc!$C$2:$C$301),Calc!$C$2:$C$301,0))</f>
        <v/>
      </c>
      <c r="F38" s="23" t="n"/>
      <c r="G38" s="23" t="n"/>
      <c r="H38" s="23" t="n"/>
      <c r="I38" s="23" t="n"/>
      <c r="J38" s="24">
        <f>MIN(Calc!$C$2:$C$301)</f>
        <v/>
      </c>
      <c r="K38" s="23">
        <f>COUNTIF(Calc!$C$2:$C$301,MIN(Calc!$C$2:$C$301))&amp;" escola(s) com esta nota"</f>
        <v/>
      </c>
      <c r="L38" s="23" t="n"/>
      <c r="M38" s="23" t="n"/>
      <c r="N38" s="1" t="n"/>
    </row>
    <row r="39">
      <c r="A39" s="1" t="n"/>
      <c r="B39" s="23" t="inlineStr">
        <is>
          <t>Maior nota de curso</t>
        </is>
      </c>
      <c r="C39" s="23" t="n"/>
      <c r="D39" s="23" t="n"/>
      <c r="E39" s="23">
        <f>INDEX(Calc!$Q$2:$Q$301,MATCH(MAX(Calc!$P$2:$P$301),Calc!$P$2:$P$301,0))</f>
        <v/>
      </c>
      <c r="F39" s="23" t="n"/>
      <c r="G39" s="23" t="n"/>
      <c r="H39" s="23" t="n"/>
      <c r="I39" s="23" t="n"/>
      <c r="J39" s="24">
        <f>MAX(Calc!$P$2:$P$301)</f>
        <v/>
      </c>
      <c r="K39" s="23">
        <f>COUNTIF(Calc!$P$2:$P$301,MAX(Calc!$P$2:$P$301))&amp;" curso(s) com esta nota"</f>
        <v/>
      </c>
      <c r="L39" s="23" t="n"/>
      <c r="M39" s="23" t="n"/>
      <c r="N39" s="1" t="n"/>
    </row>
    <row r="40">
      <c r="A40" s="1" t="n"/>
      <c r="B40" s="23" t="inlineStr">
        <is>
          <t>Menor nota de curso</t>
        </is>
      </c>
      <c r="C40" s="23" t="n"/>
      <c r="D40" s="23" t="n"/>
      <c r="E40" s="23">
        <f>INDEX(Calc!$Q$2:$Q$301,MATCH(MIN(Calc!$P$2:$P$301),Calc!$P$2:$P$301,0))</f>
        <v/>
      </c>
      <c r="F40" s="23" t="n"/>
      <c r="G40" s="23" t="n"/>
      <c r="H40" s="23" t="n"/>
      <c r="I40" s="23" t="n"/>
      <c r="J40" s="24">
        <f>MIN(Calc!$P$2:$P$301)</f>
        <v/>
      </c>
      <c r="K40" s="23">
        <f>COUNTIF(Calc!$P$2:$P$301,MIN(Calc!$P$2:$P$301))&amp;" curso(s) com esta nota"</f>
        <v/>
      </c>
      <c r="L40" s="23" t="n"/>
      <c r="M40" s="23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25" t="inlineStr">
        <is>
          <t>Quando várias escolas empatam na nota, o destaque mostra a primeira da lista.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mergeCells count="40">
    <mergeCell ref="B5:D6"/>
    <mergeCell ref="K10:M11"/>
    <mergeCell ref="K40:M40"/>
    <mergeCell ref="H5:J6"/>
    <mergeCell ref="E9:G9"/>
    <mergeCell ref="K12:M12"/>
    <mergeCell ref="E39:I39"/>
    <mergeCell ref="B38:D38"/>
    <mergeCell ref="H7:J7"/>
    <mergeCell ref="B37:D37"/>
    <mergeCell ref="H10:J11"/>
    <mergeCell ref="E38:I38"/>
    <mergeCell ref="E5:G6"/>
    <mergeCell ref="K5:M6"/>
    <mergeCell ref="B40:D40"/>
    <mergeCell ref="B9:D9"/>
    <mergeCell ref="K39:M39"/>
    <mergeCell ref="H12:J12"/>
    <mergeCell ref="E7:G7"/>
    <mergeCell ref="K7:M7"/>
    <mergeCell ref="E40:I40"/>
    <mergeCell ref="K38:M38"/>
    <mergeCell ref="B36:D36"/>
    <mergeCell ref="E10:G11"/>
    <mergeCell ref="K4:M4"/>
    <mergeCell ref="K37:M37"/>
    <mergeCell ref="B4:D4"/>
    <mergeCell ref="E12:G12"/>
    <mergeCell ref="E36:I36"/>
    <mergeCell ref="B7:D7"/>
    <mergeCell ref="B10:D11"/>
    <mergeCell ref="B1:B3"/>
    <mergeCell ref="K9:M9"/>
    <mergeCell ref="K36:M36"/>
    <mergeCell ref="H4:J4"/>
    <mergeCell ref="E4:G4"/>
    <mergeCell ref="H9:J9"/>
    <mergeCell ref="E37:I37"/>
    <mergeCell ref="B12:D12"/>
    <mergeCell ref="B39:D39"/>
  </mergeCells>
  <conditionalFormatting sqref="H5">
    <cfRule type="expression" priority="1" dxfId="0">
      <formula>AND(ISNUMBER(H5),H5&gt;=Q_BOA)</formula>
    </cfRule>
    <cfRule type="expression" priority="2" dxfId="1">
      <formula>AND(ISNUMBER(H5),H5&gt;=Q_ATENCAO,H5&lt;Q_BOA)</formula>
    </cfRule>
    <cfRule type="expression" priority="3" dxfId="2">
      <formula>AND(ISNUMBER(H5),H5&lt;Q_ATENCAO)</formula>
    </cfRule>
  </conditionalFormatting>
  <conditionalFormatting sqref="K5">
    <cfRule type="expression" priority="4" dxfId="0">
      <formula>AND(ISNUMBER(K5),K5&gt;=C_BOA)</formula>
    </cfRule>
    <cfRule type="expression" priority="5" dxfId="1">
      <formula>AND(ISNUMBER(K5),K5&gt;=C_ATENCAO,K5&lt;C_BOA)</formula>
    </cfRule>
    <cfRule type="expression" priority="6" dxfId="2">
      <formula>AND(ISNUMBER(K5),K5&lt;C_ATENCAO)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6CBD"/>
    <outlinePr summaryBelow="1" summaryRight="1"/>
    <pageSetUpPr fitToPage="1"/>
  </sheetPr>
  <dimension ref="A1:N48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4" customWidth="1" min="4" max="4"/>
    <col width="16" customWidth="1" min="5" max="5"/>
    <col width="22" customWidth="1" min="6" max="6"/>
    <col width="3" customWidth="1" min="7" max="7"/>
    <col width="14" customWidth="1" min="8" max="8"/>
  </cols>
  <sheetData>
    <row r="1" ht="22" customHeight="1">
      <c r="A1" s="1" t="n"/>
      <c r="B1" s="2" t="inlineStr">
        <is>
          <t>4</t>
        </is>
      </c>
      <c r="C1" s="3" t="inlineStr">
        <is>
          <t>ODS 4 · Educação de Qualidade · Recode — Avaliação Escolas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1" t="n"/>
    </row>
    <row r="2" ht="42" customHeight="1">
      <c r="A2" s="1" t="n"/>
      <c r="C2" s="5" t="inlineStr">
        <is>
          <t>Avaliação por Região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1" t="n"/>
    </row>
    <row r="3" ht="24" customHeight="1">
      <c r="A3" s="1" t="n"/>
      <c r="C3" s="6" t="inlineStr">
        <is>
          <t>Média das notas de qualidade das escolas avaliadas, por região (escala 1 a 5).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1" t="n"/>
    </row>
    <row r="4" ht="34" customHeight="1">
      <c r="A4" s="1" t="n"/>
      <c r="B4" s="20" t="inlineStr">
        <is>
          <t>Região</t>
        </is>
      </c>
      <c r="C4" s="20" t="inlineStr">
        <is>
          <t>Escolas avaliadas</t>
        </is>
      </c>
      <c r="D4" s="20" t="inlineStr">
        <is>
          <t>Média (1–5)</t>
        </is>
      </c>
      <c r="E4" s="20" t="inlineStr">
        <is>
          <t>Faixa</t>
        </is>
      </c>
      <c r="F4" s="20" t="inlineStr">
        <is>
          <t>Observação</t>
        </is>
      </c>
      <c r="G4" s="1" t="n"/>
      <c r="H4" s="26" t="inlineStr">
        <is>
          <t>Média geral</t>
        </is>
      </c>
      <c r="I4" s="1" t="n"/>
      <c r="J4" s="1" t="n"/>
      <c r="K4" s="1" t="n"/>
      <c r="L4" s="1" t="n"/>
      <c r="M4" s="1" t="n"/>
      <c r="N4" s="1" t="n"/>
    </row>
    <row r="5">
      <c r="A5" s="1" t="n"/>
      <c r="B5" s="23" t="inlineStr">
        <is>
          <t>Norte</t>
        </is>
      </c>
      <c r="C5" s="27">
        <f>COUNTIFS(Calc!$H$2:$H$301,B5,Calc!$C$2:$C$301,"&gt;=0")</f>
        <v/>
      </c>
      <c r="D5" s="24">
        <f>IFERROR(AVERAGEIFS(Calc!$C$2:$C$301,Calc!$H$2:$H$301,B5),0)</f>
        <v/>
      </c>
      <c r="E5" s="28">
        <f>IF(C5=0,"—",IF(D5&gt;=Q_BOA,"Boa",IF(D5&gt;=Q_ATENCAO,"Atenção","Crítica")))</f>
        <v/>
      </c>
      <c r="F5" s="28">
        <f>IF(C5=0,"sem avaliações",IF(C5&lt;MIN_AMOSTRA,"amostra pequena","ok"))</f>
        <v/>
      </c>
      <c r="G5" s="1" t="n"/>
      <c r="H5" s="29">
        <f>IFERROR(AVERAGE(avaliacoes_qualidade[Nota média]),0)</f>
        <v/>
      </c>
      <c r="I5" s="1" t="n"/>
      <c r="J5" s="1" t="n"/>
      <c r="K5" s="1" t="n"/>
      <c r="L5" s="1" t="n"/>
      <c r="M5" s="1" t="n"/>
      <c r="N5" s="1" t="n"/>
    </row>
    <row r="6">
      <c r="A6" s="1" t="n"/>
      <c r="B6" s="23" t="inlineStr">
        <is>
          <t>Nordeste</t>
        </is>
      </c>
      <c r="C6" s="27">
        <f>COUNTIFS(Calc!$H$2:$H$301,B6,Calc!$C$2:$C$301,"&gt;=0")</f>
        <v/>
      </c>
      <c r="D6" s="24">
        <f>IFERROR(AVERAGEIFS(Calc!$C$2:$C$301,Calc!$H$2:$H$301,B6),0)</f>
        <v/>
      </c>
      <c r="E6" s="28">
        <f>IF(C6=0,"—",IF(D6&gt;=Q_BOA,"Boa",IF(D6&gt;=Q_ATENCAO,"Atenção","Crítica")))</f>
        <v/>
      </c>
      <c r="F6" s="28">
        <f>IF(C6=0,"sem avaliações",IF(C6&lt;MIN_AMOSTRA,"amostra pequena","ok"))</f>
        <v/>
      </c>
      <c r="G6" s="1" t="n"/>
      <c r="H6" s="29">
        <f>IFERROR(AVERAGE(avaliacoes_qualidade[Nota média]),0)</f>
        <v/>
      </c>
      <c r="I6" s="1" t="n"/>
      <c r="J6" s="1" t="n"/>
      <c r="K6" s="1" t="n"/>
      <c r="L6" s="1" t="n"/>
      <c r="M6" s="1" t="n"/>
      <c r="N6" s="1" t="n"/>
    </row>
    <row r="7">
      <c r="A7" s="1" t="n"/>
      <c r="B7" s="23" t="inlineStr">
        <is>
          <t>Centro-Oeste</t>
        </is>
      </c>
      <c r="C7" s="27">
        <f>COUNTIFS(Calc!$H$2:$H$301,B7,Calc!$C$2:$C$301,"&gt;=0")</f>
        <v/>
      </c>
      <c r="D7" s="24">
        <f>IFERROR(AVERAGEIFS(Calc!$C$2:$C$301,Calc!$H$2:$H$301,B7),0)</f>
        <v/>
      </c>
      <c r="E7" s="28">
        <f>IF(C7=0,"—",IF(D7&gt;=Q_BOA,"Boa",IF(D7&gt;=Q_ATENCAO,"Atenção","Crítica")))</f>
        <v/>
      </c>
      <c r="F7" s="28">
        <f>IF(C7=0,"sem avaliações",IF(C7&lt;MIN_AMOSTRA,"amostra pequena","ok"))</f>
        <v/>
      </c>
      <c r="G7" s="1" t="n"/>
      <c r="H7" s="29">
        <f>IFERROR(AVERAGE(avaliacoes_qualidade[Nota média]),0)</f>
        <v/>
      </c>
      <c r="I7" s="1" t="n"/>
      <c r="J7" s="1" t="n"/>
      <c r="K7" s="1" t="n"/>
      <c r="L7" s="1" t="n"/>
      <c r="M7" s="1" t="n"/>
      <c r="N7" s="1" t="n"/>
    </row>
    <row r="8">
      <c r="A8" s="1" t="n"/>
      <c r="B8" s="23" t="inlineStr">
        <is>
          <t>Sudeste</t>
        </is>
      </c>
      <c r="C8" s="27">
        <f>COUNTIFS(Calc!$H$2:$H$301,B8,Calc!$C$2:$C$301,"&gt;=0")</f>
        <v/>
      </c>
      <c r="D8" s="24">
        <f>IFERROR(AVERAGEIFS(Calc!$C$2:$C$301,Calc!$H$2:$H$301,B8),0)</f>
        <v/>
      </c>
      <c r="E8" s="28">
        <f>IF(C8=0,"—",IF(D8&gt;=Q_BOA,"Boa",IF(D8&gt;=Q_ATENCAO,"Atenção","Crítica")))</f>
        <v/>
      </c>
      <c r="F8" s="28">
        <f>IF(C8=0,"sem avaliações",IF(C8&lt;MIN_AMOSTRA,"amostra pequena","ok"))</f>
        <v/>
      </c>
      <c r="G8" s="1" t="n"/>
      <c r="H8" s="29">
        <f>IFERROR(AVERAGE(avaliacoes_qualidade[Nota média]),0)</f>
        <v/>
      </c>
      <c r="I8" s="1" t="n"/>
      <c r="J8" s="1" t="n"/>
      <c r="K8" s="1" t="n"/>
      <c r="L8" s="1" t="n"/>
      <c r="M8" s="1" t="n"/>
      <c r="N8" s="1" t="n"/>
    </row>
    <row r="9">
      <c r="A9" s="1" t="n"/>
      <c r="B9" s="23" t="inlineStr">
        <is>
          <t>Sul</t>
        </is>
      </c>
      <c r="C9" s="27">
        <f>COUNTIFS(Calc!$H$2:$H$301,B9,Calc!$C$2:$C$301,"&gt;=0")</f>
        <v/>
      </c>
      <c r="D9" s="24">
        <f>IFERROR(AVERAGEIFS(Calc!$C$2:$C$301,Calc!$H$2:$H$301,B9),0)</f>
        <v/>
      </c>
      <c r="E9" s="28">
        <f>IF(C9=0,"—",IF(D9&gt;=Q_BOA,"Boa",IF(D9&gt;=Q_ATENCAO,"Atenção","Crítica")))</f>
        <v/>
      </c>
      <c r="F9" s="28">
        <f>IF(C9=0,"sem avaliações",IF(C9&lt;MIN_AMOSTRA,"amostra pequena","ok"))</f>
        <v/>
      </c>
      <c r="G9" s="1" t="n"/>
      <c r="H9" s="29">
        <f>IFERROR(AVERAGE(avaliacoes_qualidade[Nota média]),0)</f>
        <v/>
      </c>
      <c r="I9" s="1" t="n"/>
      <c r="J9" s="1" t="n"/>
      <c r="K9" s="1" t="n"/>
      <c r="L9" s="1" t="n"/>
      <c r="M9" s="1" t="n"/>
      <c r="N9" s="1" t="n"/>
    </row>
    <row r="10">
      <c r="A10" s="1" t="n"/>
      <c r="B10" s="23" t="inlineStr">
        <is>
          <t>Não localizada</t>
        </is>
      </c>
      <c r="C10" s="27">
        <f>COUNTIFS(Calc!$H$2:$H$301,B10,Calc!$C$2:$C$301,"&gt;=0")</f>
        <v/>
      </c>
      <c r="D10" s="24">
        <f>IFERROR(AVERAGEIFS(Calc!$C$2:$C$301,Calc!$H$2:$H$301,B10),0)</f>
        <v/>
      </c>
      <c r="E10" s="28">
        <f>IF(C10=0,"—",IF(D10&gt;=Q_BOA,"Boa",IF(D10&gt;=Q_ATENCAO,"Atenção","Crítica")))</f>
        <v/>
      </c>
      <c r="F10" s="28">
        <f>IF(C10=0,"sem avaliações",IF(C10&lt;MIN_AMOSTRA,"amostra pequena","ok"))</f>
        <v/>
      </c>
      <c r="G10" s="1" t="n"/>
      <c r="H10" s="29">
        <f>IFERROR(AVERAGE(avaliacoes_qualidade[Nota média]),0)</f>
        <v/>
      </c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30" t="inlineStr">
        <is>
          <t>Regiões com poucas escolas avaliadas têm amostra pequena: leia com cautela. "Não localizada" = escola cujo nome não casa com nenhuma cidade da tabela de endereços.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</sheetData>
  <mergeCells count="2">
    <mergeCell ref="B1:B3"/>
    <mergeCell ref="B12:F13"/>
  </mergeCells>
  <conditionalFormatting sqref="E5:E10">
    <cfRule type="expression" priority="1" dxfId="3">
      <formula>E5="Boa"</formula>
    </cfRule>
    <cfRule type="expression" priority="2" dxfId="4">
      <formula>E5="Atenção"</formula>
    </cfRule>
    <cfRule type="expression" priority="3" dxfId="5">
      <formula>E5="Crítica"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6CBD"/>
    <outlinePr summaryBelow="1" summaryRight="1"/>
    <pageSetUpPr fitToPage="1"/>
  </sheetPr>
  <dimension ref="A1:T80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36" customWidth="1" min="4" max="4"/>
    <col width="10" customWidth="1" min="5" max="5"/>
    <col width="12" customWidth="1" min="6" max="6"/>
    <col width="3" customWidth="1" min="7" max="7"/>
    <col hidden="1" width="3" customWidth="1" min="8" max="8"/>
    <col hidden="1" width="3" customWidth="1" min="9" max="9"/>
  </cols>
  <sheetData>
    <row r="1" ht="22" customHeight="1">
      <c r="A1" s="1" t="n"/>
      <c r="B1" s="2" t="inlineStr">
        <is>
          <t>4</t>
        </is>
      </c>
      <c r="C1" s="3" t="inlineStr">
        <is>
          <t>ODS 4 · Educação de Qualidade · Recode — Avaliação Escolas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42" customHeight="1">
      <c r="A2" s="1" t="n"/>
      <c r="C2" s="5" t="inlineStr">
        <is>
          <t>Avaliação dos Cursos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4" customHeight="1">
      <c r="A3" s="1" t="n"/>
      <c r="C3" s="6" t="inlineStr">
        <is>
          <t>Média das avaliações por curso (escala 0 a 10). Escolha a ordem na célula em azul claro.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" t="n"/>
      <c r="B4" s="31" t="inlineStr">
        <is>
          <t>Ordem</t>
        </is>
      </c>
      <c r="C4" s="32" t="inlineStr">
        <is>
          <t>Maiores notas primeiro</t>
        </is>
      </c>
      <c r="D4" s="22" t="n"/>
      <c r="E4" s="1" t="n"/>
      <c r="F4" s="33">
        <f>"Cursos avaliados: "&amp;COUNT(Calc!$P$2:$P$301)&amp;"  ·  média geral: "&amp;TEXT(AVERAGE(Calc!$P$2:$P$301),"0.0")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20" t="inlineStr">
        <is>
          <t>#</t>
        </is>
      </c>
      <c r="C6" s="20" t="inlineStr">
        <is>
          <t>Curso</t>
        </is>
      </c>
      <c r="D6" s="20" t="inlineStr">
        <is>
          <t>Escola</t>
        </is>
      </c>
      <c r="E6" s="20" t="inlineStr">
        <is>
          <t>Nota</t>
        </is>
      </c>
      <c r="F6" s="20" t="inlineStr">
        <is>
          <t>Faixa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28">
        <f>IF(1&lt;=COUNT(Calc!$R$2:$R$301),1,"")</f>
        <v/>
      </c>
      <c r="C7" s="23">
        <f>IF(B7="","",INDEX(Calc!$Q$2:$Q$301,I7))</f>
        <v/>
      </c>
      <c r="D7" s="23">
        <f>IF(B7="","",INDEX(Calc!$O$2:$O$301,I7))</f>
        <v/>
      </c>
      <c r="E7" s="24">
        <f>IF(B7="","",INDEX(Calc!$P$2:$P$301,I7))</f>
        <v/>
      </c>
      <c r="F7" s="28">
        <f>IF(E7="","",IF(E7&gt;=C_BOA,"Boa",IF(E7&gt;=C_ATENCAO,"Atenção","Crítica")))</f>
        <v/>
      </c>
      <c r="G7" s="1" t="n"/>
      <c r="H7" s="1">
        <f>IF(B7="","",IF($C$4="Maiores notas primeiro",LARGE(Calc!$R$2:$R$301,B7),SMALL(Calc!$R$2:$R$301,B7)))</f>
        <v/>
      </c>
      <c r="I7" s="1">
        <f>IF(B7="","",MATCH(H7,Calc!$R$2:$R$301,0))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28">
        <f>IF(2&lt;=COUNT(Calc!$R$2:$R$301),2,"")</f>
        <v/>
      </c>
      <c r="C8" s="23">
        <f>IF(B8="","",INDEX(Calc!$Q$2:$Q$301,I8))</f>
        <v/>
      </c>
      <c r="D8" s="23">
        <f>IF(B8="","",INDEX(Calc!$O$2:$O$301,I8))</f>
        <v/>
      </c>
      <c r="E8" s="24">
        <f>IF(B8="","",INDEX(Calc!$P$2:$P$301,I8))</f>
        <v/>
      </c>
      <c r="F8" s="28">
        <f>IF(E8="","",IF(E8&gt;=C_BOA,"Boa",IF(E8&gt;=C_ATENCAO,"Atenção","Crítica")))</f>
        <v/>
      </c>
      <c r="G8" s="1" t="n"/>
      <c r="H8" s="1">
        <f>IF(B8="","",IF($C$4="Maiores notas primeiro",LARGE(Calc!$R$2:$R$301,B8),SMALL(Calc!$R$2:$R$301,B8)))</f>
        <v/>
      </c>
      <c r="I8" s="1">
        <f>IF(B8="","",MATCH(H8,Calc!$R$2:$R$301,0))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28">
        <f>IF(3&lt;=COUNT(Calc!$R$2:$R$301),3,"")</f>
        <v/>
      </c>
      <c r="C9" s="23">
        <f>IF(B9="","",INDEX(Calc!$Q$2:$Q$301,I9))</f>
        <v/>
      </c>
      <c r="D9" s="23">
        <f>IF(B9="","",INDEX(Calc!$O$2:$O$301,I9))</f>
        <v/>
      </c>
      <c r="E9" s="24">
        <f>IF(B9="","",INDEX(Calc!$P$2:$P$301,I9))</f>
        <v/>
      </c>
      <c r="F9" s="28">
        <f>IF(E9="","",IF(E9&gt;=C_BOA,"Boa",IF(E9&gt;=C_ATENCAO,"Atenção","Crítica")))</f>
        <v/>
      </c>
      <c r="G9" s="1" t="n"/>
      <c r="H9" s="1">
        <f>IF(B9="","",IF($C$4="Maiores notas primeiro",LARGE(Calc!$R$2:$R$301,B9),SMALL(Calc!$R$2:$R$301,B9)))</f>
        <v/>
      </c>
      <c r="I9" s="1">
        <f>IF(B9="","",MATCH(H9,Calc!$R$2:$R$301,0))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28">
        <f>IF(4&lt;=COUNT(Calc!$R$2:$R$301),4,"")</f>
        <v/>
      </c>
      <c r="C10" s="23">
        <f>IF(B10="","",INDEX(Calc!$Q$2:$Q$301,I10))</f>
        <v/>
      </c>
      <c r="D10" s="23">
        <f>IF(B10="","",INDEX(Calc!$O$2:$O$301,I10))</f>
        <v/>
      </c>
      <c r="E10" s="24">
        <f>IF(B10="","",INDEX(Calc!$P$2:$P$301,I10))</f>
        <v/>
      </c>
      <c r="F10" s="28">
        <f>IF(E10="","",IF(E10&gt;=C_BOA,"Boa",IF(E10&gt;=C_ATENCAO,"Atenção","Crítica")))</f>
        <v/>
      </c>
      <c r="G10" s="1" t="n"/>
      <c r="H10" s="1">
        <f>IF(B10="","",IF($C$4="Maiores notas primeiro",LARGE(Calc!$R$2:$R$301,B10),SMALL(Calc!$R$2:$R$301,B10)))</f>
        <v/>
      </c>
      <c r="I10" s="1">
        <f>IF(B10="","",MATCH(H10,Calc!$R$2:$R$301,0))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28">
        <f>IF(5&lt;=COUNT(Calc!$R$2:$R$301),5,"")</f>
        <v/>
      </c>
      <c r="C11" s="23">
        <f>IF(B11="","",INDEX(Calc!$Q$2:$Q$301,I11))</f>
        <v/>
      </c>
      <c r="D11" s="23">
        <f>IF(B11="","",INDEX(Calc!$O$2:$O$301,I11))</f>
        <v/>
      </c>
      <c r="E11" s="24">
        <f>IF(B11="","",INDEX(Calc!$P$2:$P$301,I11))</f>
        <v/>
      </c>
      <c r="F11" s="28">
        <f>IF(E11="","",IF(E11&gt;=C_BOA,"Boa",IF(E11&gt;=C_ATENCAO,"Atenção","Crítica")))</f>
        <v/>
      </c>
      <c r="G11" s="1" t="n"/>
      <c r="H11" s="1">
        <f>IF(B11="","",IF($C$4="Maiores notas primeiro",LARGE(Calc!$R$2:$R$301,B11),SMALL(Calc!$R$2:$R$301,B11)))</f>
        <v/>
      </c>
      <c r="I11" s="1">
        <f>IF(B11="","",MATCH(H11,Calc!$R$2:$R$301,0))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28">
        <f>IF(6&lt;=COUNT(Calc!$R$2:$R$301),6,"")</f>
        <v/>
      </c>
      <c r="C12" s="23">
        <f>IF(B12="","",INDEX(Calc!$Q$2:$Q$301,I12))</f>
        <v/>
      </c>
      <c r="D12" s="23">
        <f>IF(B12="","",INDEX(Calc!$O$2:$O$301,I12))</f>
        <v/>
      </c>
      <c r="E12" s="24">
        <f>IF(B12="","",INDEX(Calc!$P$2:$P$301,I12))</f>
        <v/>
      </c>
      <c r="F12" s="28">
        <f>IF(E12="","",IF(E12&gt;=C_BOA,"Boa",IF(E12&gt;=C_ATENCAO,"Atenção","Crítica")))</f>
        <v/>
      </c>
      <c r="G12" s="1" t="n"/>
      <c r="H12" s="1">
        <f>IF(B12="","",IF($C$4="Maiores notas primeiro",LARGE(Calc!$R$2:$R$301,B12),SMALL(Calc!$R$2:$R$301,B12)))</f>
        <v/>
      </c>
      <c r="I12" s="1">
        <f>IF(B12="","",MATCH(H12,Calc!$R$2:$R$301,0))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28">
        <f>IF(7&lt;=COUNT(Calc!$R$2:$R$301),7,"")</f>
        <v/>
      </c>
      <c r="C13" s="23">
        <f>IF(B13="","",INDEX(Calc!$Q$2:$Q$301,I13))</f>
        <v/>
      </c>
      <c r="D13" s="23">
        <f>IF(B13="","",INDEX(Calc!$O$2:$O$301,I13))</f>
        <v/>
      </c>
      <c r="E13" s="24">
        <f>IF(B13="","",INDEX(Calc!$P$2:$P$301,I13))</f>
        <v/>
      </c>
      <c r="F13" s="28">
        <f>IF(E13="","",IF(E13&gt;=C_BOA,"Boa",IF(E13&gt;=C_ATENCAO,"Atenção","Crítica")))</f>
        <v/>
      </c>
      <c r="G13" s="1" t="n"/>
      <c r="H13" s="1">
        <f>IF(B13="","",IF($C$4="Maiores notas primeiro",LARGE(Calc!$R$2:$R$301,B13),SMALL(Calc!$R$2:$R$301,B13)))</f>
        <v/>
      </c>
      <c r="I13" s="1">
        <f>IF(B13="","",MATCH(H13,Calc!$R$2:$R$301,0))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28">
        <f>IF(8&lt;=COUNT(Calc!$R$2:$R$301),8,"")</f>
        <v/>
      </c>
      <c r="C14" s="23">
        <f>IF(B14="","",INDEX(Calc!$Q$2:$Q$301,I14))</f>
        <v/>
      </c>
      <c r="D14" s="23">
        <f>IF(B14="","",INDEX(Calc!$O$2:$O$301,I14))</f>
        <v/>
      </c>
      <c r="E14" s="24">
        <f>IF(B14="","",INDEX(Calc!$P$2:$P$301,I14))</f>
        <v/>
      </c>
      <c r="F14" s="28">
        <f>IF(E14="","",IF(E14&gt;=C_BOA,"Boa",IF(E14&gt;=C_ATENCAO,"Atenção","Crítica")))</f>
        <v/>
      </c>
      <c r="G14" s="1" t="n"/>
      <c r="H14" s="1">
        <f>IF(B14="","",IF($C$4="Maiores notas primeiro",LARGE(Calc!$R$2:$R$301,B14),SMALL(Calc!$R$2:$R$301,B14)))</f>
        <v/>
      </c>
      <c r="I14" s="1">
        <f>IF(B14="","",MATCH(H14,Calc!$R$2:$R$301,0))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28">
        <f>IF(9&lt;=COUNT(Calc!$R$2:$R$301),9,"")</f>
        <v/>
      </c>
      <c r="C15" s="23">
        <f>IF(B15="","",INDEX(Calc!$Q$2:$Q$301,I15))</f>
        <v/>
      </c>
      <c r="D15" s="23">
        <f>IF(B15="","",INDEX(Calc!$O$2:$O$301,I15))</f>
        <v/>
      </c>
      <c r="E15" s="24">
        <f>IF(B15="","",INDEX(Calc!$P$2:$P$301,I15))</f>
        <v/>
      </c>
      <c r="F15" s="28">
        <f>IF(E15="","",IF(E15&gt;=C_BOA,"Boa",IF(E15&gt;=C_ATENCAO,"Atenção","Crítica")))</f>
        <v/>
      </c>
      <c r="G15" s="1" t="n"/>
      <c r="H15" s="1">
        <f>IF(B15="","",IF($C$4="Maiores notas primeiro",LARGE(Calc!$R$2:$R$301,B15),SMALL(Calc!$R$2:$R$301,B15)))</f>
        <v/>
      </c>
      <c r="I15" s="1">
        <f>IF(B15="","",MATCH(H15,Calc!$R$2:$R$301,0))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28">
        <f>IF(10&lt;=COUNT(Calc!$R$2:$R$301),10,"")</f>
        <v/>
      </c>
      <c r="C16" s="23">
        <f>IF(B16="","",INDEX(Calc!$Q$2:$Q$301,I16))</f>
        <v/>
      </c>
      <c r="D16" s="23">
        <f>IF(B16="","",INDEX(Calc!$O$2:$O$301,I16))</f>
        <v/>
      </c>
      <c r="E16" s="24">
        <f>IF(B16="","",INDEX(Calc!$P$2:$P$301,I16))</f>
        <v/>
      </c>
      <c r="F16" s="28">
        <f>IF(E16="","",IF(E16&gt;=C_BOA,"Boa",IF(E16&gt;=C_ATENCAO,"Atenção","Crítica")))</f>
        <v/>
      </c>
      <c r="G16" s="1" t="n"/>
      <c r="H16" s="1">
        <f>IF(B16="","",IF($C$4="Maiores notas primeiro",LARGE(Calc!$R$2:$R$301,B16),SMALL(Calc!$R$2:$R$301,B16)))</f>
        <v/>
      </c>
      <c r="I16" s="1">
        <f>IF(B16="","",MATCH(H16,Calc!$R$2:$R$301,0))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28">
        <f>IF(11&lt;=COUNT(Calc!$R$2:$R$301),11,"")</f>
        <v/>
      </c>
      <c r="C17" s="23">
        <f>IF(B17="","",INDEX(Calc!$Q$2:$Q$301,I17))</f>
        <v/>
      </c>
      <c r="D17" s="23">
        <f>IF(B17="","",INDEX(Calc!$O$2:$O$301,I17))</f>
        <v/>
      </c>
      <c r="E17" s="24">
        <f>IF(B17="","",INDEX(Calc!$P$2:$P$301,I17))</f>
        <v/>
      </c>
      <c r="F17" s="28">
        <f>IF(E17="","",IF(E17&gt;=C_BOA,"Boa",IF(E17&gt;=C_ATENCAO,"Atenção","Crítica")))</f>
        <v/>
      </c>
      <c r="G17" s="1" t="n"/>
      <c r="H17" s="1">
        <f>IF(B17="","",IF($C$4="Maiores notas primeiro",LARGE(Calc!$R$2:$R$301,B17),SMALL(Calc!$R$2:$R$301,B17)))</f>
        <v/>
      </c>
      <c r="I17" s="1">
        <f>IF(B17="","",MATCH(H17,Calc!$R$2:$R$301,0))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28">
        <f>IF(12&lt;=COUNT(Calc!$R$2:$R$301),12,"")</f>
        <v/>
      </c>
      <c r="C18" s="23">
        <f>IF(B18="","",INDEX(Calc!$Q$2:$Q$301,I18))</f>
        <v/>
      </c>
      <c r="D18" s="23">
        <f>IF(B18="","",INDEX(Calc!$O$2:$O$301,I18))</f>
        <v/>
      </c>
      <c r="E18" s="24">
        <f>IF(B18="","",INDEX(Calc!$P$2:$P$301,I18))</f>
        <v/>
      </c>
      <c r="F18" s="28">
        <f>IF(E18="","",IF(E18&gt;=C_BOA,"Boa",IF(E18&gt;=C_ATENCAO,"Atenção","Crítica")))</f>
        <v/>
      </c>
      <c r="G18" s="1" t="n"/>
      <c r="H18" s="1">
        <f>IF(B18="","",IF($C$4="Maiores notas primeiro",LARGE(Calc!$R$2:$R$301,B18),SMALL(Calc!$R$2:$R$301,B18)))</f>
        <v/>
      </c>
      <c r="I18" s="1">
        <f>IF(B18="","",MATCH(H18,Calc!$R$2:$R$301,0))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28">
        <f>IF(13&lt;=COUNT(Calc!$R$2:$R$301),13,"")</f>
        <v/>
      </c>
      <c r="C19" s="23">
        <f>IF(B19="","",INDEX(Calc!$Q$2:$Q$301,I19))</f>
        <v/>
      </c>
      <c r="D19" s="23">
        <f>IF(B19="","",INDEX(Calc!$O$2:$O$301,I19))</f>
        <v/>
      </c>
      <c r="E19" s="24">
        <f>IF(B19="","",INDEX(Calc!$P$2:$P$301,I19))</f>
        <v/>
      </c>
      <c r="F19" s="28">
        <f>IF(E19="","",IF(E19&gt;=C_BOA,"Boa",IF(E19&gt;=C_ATENCAO,"Atenção","Crítica")))</f>
        <v/>
      </c>
      <c r="G19" s="1" t="n"/>
      <c r="H19" s="1">
        <f>IF(B19="","",IF($C$4="Maiores notas primeiro",LARGE(Calc!$R$2:$R$301,B19),SMALL(Calc!$R$2:$R$301,B19)))</f>
        <v/>
      </c>
      <c r="I19" s="1">
        <f>IF(B19="","",MATCH(H19,Calc!$R$2:$R$301,0))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28">
        <f>IF(14&lt;=COUNT(Calc!$R$2:$R$301),14,"")</f>
        <v/>
      </c>
      <c r="C20" s="23">
        <f>IF(B20="","",INDEX(Calc!$Q$2:$Q$301,I20))</f>
        <v/>
      </c>
      <c r="D20" s="23">
        <f>IF(B20="","",INDEX(Calc!$O$2:$O$301,I20))</f>
        <v/>
      </c>
      <c r="E20" s="24">
        <f>IF(B20="","",INDEX(Calc!$P$2:$P$301,I20))</f>
        <v/>
      </c>
      <c r="F20" s="28">
        <f>IF(E20="","",IF(E20&gt;=C_BOA,"Boa",IF(E20&gt;=C_ATENCAO,"Atenção","Crítica")))</f>
        <v/>
      </c>
      <c r="G20" s="1" t="n"/>
      <c r="H20" s="1">
        <f>IF(B20="","",IF($C$4="Maiores notas primeiro",LARGE(Calc!$R$2:$R$301,B20),SMALL(Calc!$R$2:$R$301,B20)))</f>
        <v/>
      </c>
      <c r="I20" s="1">
        <f>IF(B20="","",MATCH(H20,Calc!$R$2:$R$301,0))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28">
        <f>IF(15&lt;=COUNT(Calc!$R$2:$R$301),15,"")</f>
        <v/>
      </c>
      <c r="C21" s="23">
        <f>IF(B21="","",INDEX(Calc!$Q$2:$Q$301,I21))</f>
        <v/>
      </c>
      <c r="D21" s="23">
        <f>IF(B21="","",INDEX(Calc!$O$2:$O$301,I21))</f>
        <v/>
      </c>
      <c r="E21" s="24">
        <f>IF(B21="","",INDEX(Calc!$P$2:$P$301,I21))</f>
        <v/>
      </c>
      <c r="F21" s="28">
        <f>IF(E21="","",IF(E21&gt;=C_BOA,"Boa",IF(E21&gt;=C_ATENCAO,"Atenção","Crítica")))</f>
        <v/>
      </c>
      <c r="G21" s="1" t="n"/>
      <c r="H21" s="1">
        <f>IF(B21="","",IF($C$4="Maiores notas primeiro",LARGE(Calc!$R$2:$R$301,B21),SMALL(Calc!$R$2:$R$301,B21)))</f>
        <v/>
      </c>
      <c r="I21" s="1">
        <f>IF(B21="","",MATCH(H21,Calc!$R$2:$R$301,0))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28">
        <f>IF(16&lt;=COUNT(Calc!$R$2:$R$301),16,"")</f>
        <v/>
      </c>
      <c r="C22" s="23">
        <f>IF(B22="","",INDEX(Calc!$Q$2:$Q$301,I22))</f>
        <v/>
      </c>
      <c r="D22" s="23">
        <f>IF(B22="","",INDEX(Calc!$O$2:$O$301,I22))</f>
        <v/>
      </c>
      <c r="E22" s="24">
        <f>IF(B22="","",INDEX(Calc!$P$2:$P$301,I22))</f>
        <v/>
      </c>
      <c r="F22" s="28">
        <f>IF(E22="","",IF(E22&gt;=C_BOA,"Boa",IF(E22&gt;=C_ATENCAO,"Atenção","Crítica")))</f>
        <v/>
      </c>
      <c r="G22" s="1" t="n"/>
      <c r="H22" s="1">
        <f>IF(B22="","",IF($C$4="Maiores notas primeiro",LARGE(Calc!$R$2:$R$301,B22),SMALL(Calc!$R$2:$R$301,B22)))</f>
        <v/>
      </c>
      <c r="I22" s="1">
        <f>IF(B22="","",MATCH(H22,Calc!$R$2:$R$301,0))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28">
        <f>IF(17&lt;=COUNT(Calc!$R$2:$R$301),17,"")</f>
        <v/>
      </c>
      <c r="C23" s="23">
        <f>IF(B23="","",INDEX(Calc!$Q$2:$Q$301,I23))</f>
        <v/>
      </c>
      <c r="D23" s="23">
        <f>IF(B23="","",INDEX(Calc!$O$2:$O$301,I23))</f>
        <v/>
      </c>
      <c r="E23" s="24">
        <f>IF(B23="","",INDEX(Calc!$P$2:$P$301,I23))</f>
        <v/>
      </c>
      <c r="F23" s="28">
        <f>IF(E23="","",IF(E23&gt;=C_BOA,"Boa",IF(E23&gt;=C_ATENCAO,"Atenção","Crítica")))</f>
        <v/>
      </c>
      <c r="G23" s="1" t="n"/>
      <c r="H23" s="1">
        <f>IF(B23="","",IF($C$4="Maiores notas primeiro",LARGE(Calc!$R$2:$R$301,B23),SMALL(Calc!$R$2:$R$301,B23)))</f>
        <v/>
      </c>
      <c r="I23" s="1">
        <f>IF(B23="","",MATCH(H23,Calc!$R$2:$R$301,0))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28">
        <f>IF(18&lt;=COUNT(Calc!$R$2:$R$301),18,"")</f>
        <v/>
      </c>
      <c r="C24" s="23">
        <f>IF(B24="","",INDEX(Calc!$Q$2:$Q$301,I24))</f>
        <v/>
      </c>
      <c r="D24" s="23">
        <f>IF(B24="","",INDEX(Calc!$O$2:$O$301,I24))</f>
        <v/>
      </c>
      <c r="E24" s="24">
        <f>IF(B24="","",INDEX(Calc!$P$2:$P$301,I24))</f>
        <v/>
      </c>
      <c r="F24" s="28">
        <f>IF(E24="","",IF(E24&gt;=C_BOA,"Boa",IF(E24&gt;=C_ATENCAO,"Atenção","Crítica")))</f>
        <v/>
      </c>
      <c r="G24" s="1" t="n"/>
      <c r="H24" s="1">
        <f>IF(B24="","",IF($C$4="Maiores notas primeiro",LARGE(Calc!$R$2:$R$301,B24),SMALL(Calc!$R$2:$R$301,B24)))</f>
        <v/>
      </c>
      <c r="I24" s="1">
        <f>IF(B24="","",MATCH(H24,Calc!$R$2:$R$301,0))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28">
        <f>IF(19&lt;=COUNT(Calc!$R$2:$R$301),19,"")</f>
        <v/>
      </c>
      <c r="C25" s="23">
        <f>IF(B25="","",INDEX(Calc!$Q$2:$Q$301,I25))</f>
        <v/>
      </c>
      <c r="D25" s="23">
        <f>IF(B25="","",INDEX(Calc!$O$2:$O$301,I25))</f>
        <v/>
      </c>
      <c r="E25" s="24">
        <f>IF(B25="","",INDEX(Calc!$P$2:$P$301,I25))</f>
        <v/>
      </c>
      <c r="F25" s="28">
        <f>IF(E25="","",IF(E25&gt;=C_BOA,"Boa",IF(E25&gt;=C_ATENCAO,"Atenção","Crítica")))</f>
        <v/>
      </c>
      <c r="G25" s="1" t="n"/>
      <c r="H25" s="1">
        <f>IF(B25="","",IF($C$4="Maiores notas primeiro",LARGE(Calc!$R$2:$R$301,B25),SMALL(Calc!$R$2:$R$301,B25)))</f>
        <v/>
      </c>
      <c r="I25" s="1">
        <f>IF(B25="","",MATCH(H25,Calc!$R$2:$R$301,0))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28">
        <f>IF(20&lt;=COUNT(Calc!$R$2:$R$301),20,"")</f>
        <v/>
      </c>
      <c r="C26" s="23">
        <f>IF(B26="","",INDEX(Calc!$Q$2:$Q$301,I26))</f>
        <v/>
      </c>
      <c r="D26" s="23">
        <f>IF(B26="","",INDEX(Calc!$O$2:$O$301,I26))</f>
        <v/>
      </c>
      <c r="E26" s="24">
        <f>IF(B26="","",INDEX(Calc!$P$2:$P$301,I26))</f>
        <v/>
      </c>
      <c r="F26" s="28">
        <f>IF(E26="","",IF(E26&gt;=C_BOA,"Boa",IF(E26&gt;=C_ATENCAO,"Atenção","Crítica")))</f>
        <v/>
      </c>
      <c r="G26" s="1" t="n"/>
      <c r="H26" s="1">
        <f>IF(B26="","",IF($C$4="Maiores notas primeiro",LARGE(Calc!$R$2:$R$301,B26),SMALL(Calc!$R$2:$R$301,B26)))</f>
        <v/>
      </c>
      <c r="I26" s="1">
        <f>IF(B26="","",MATCH(H26,Calc!$R$2:$R$301,0))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28">
        <f>IF(21&lt;=COUNT(Calc!$R$2:$R$301),21,"")</f>
        <v/>
      </c>
      <c r="C27" s="23">
        <f>IF(B27="","",INDEX(Calc!$Q$2:$Q$301,I27))</f>
        <v/>
      </c>
      <c r="D27" s="23">
        <f>IF(B27="","",INDEX(Calc!$O$2:$O$301,I27))</f>
        <v/>
      </c>
      <c r="E27" s="24">
        <f>IF(B27="","",INDEX(Calc!$P$2:$P$301,I27))</f>
        <v/>
      </c>
      <c r="F27" s="28">
        <f>IF(E27="","",IF(E27&gt;=C_BOA,"Boa",IF(E27&gt;=C_ATENCAO,"Atenção","Crítica")))</f>
        <v/>
      </c>
      <c r="G27" s="1" t="n"/>
      <c r="H27" s="1">
        <f>IF(B27="","",IF($C$4="Maiores notas primeiro",LARGE(Calc!$R$2:$R$301,B27),SMALL(Calc!$R$2:$R$301,B27)))</f>
        <v/>
      </c>
      <c r="I27" s="1">
        <f>IF(B27="","",MATCH(H27,Calc!$R$2:$R$301,0))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28">
        <f>IF(22&lt;=COUNT(Calc!$R$2:$R$301),22,"")</f>
        <v/>
      </c>
      <c r="C28" s="23">
        <f>IF(B28="","",INDEX(Calc!$Q$2:$Q$301,I28))</f>
        <v/>
      </c>
      <c r="D28" s="23">
        <f>IF(B28="","",INDEX(Calc!$O$2:$O$301,I28))</f>
        <v/>
      </c>
      <c r="E28" s="24">
        <f>IF(B28="","",INDEX(Calc!$P$2:$P$301,I28))</f>
        <v/>
      </c>
      <c r="F28" s="28">
        <f>IF(E28="","",IF(E28&gt;=C_BOA,"Boa",IF(E28&gt;=C_ATENCAO,"Atenção","Crítica")))</f>
        <v/>
      </c>
      <c r="G28" s="1" t="n"/>
      <c r="H28" s="1">
        <f>IF(B28="","",IF($C$4="Maiores notas primeiro",LARGE(Calc!$R$2:$R$301,B28),SMALL(Calc!$R$2:$R$301,B28)))</f>
        <v/>
      </c>
      <c r="I28" s="1">
        <f>IF(B28="","",MATCH(H28,Calc!$R$2:$R$301,0))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28">
        <f>IF(23&lt;=COUNT(Calc!$R$2:$R$301),23,"")</f>
        <v/>
      </c>
      <c r="C29" s="23">
        <f>IF(B29="","",INDEX(Calc!$Q$2:$Q$301,I29))</f>
        <v/>
      </c>
      <c r="D29" s="23">
        <f>IF(B29="","",INDEX(Calc!$O$2:$O$301,I29))</f>
        <v/>
      </c>
      <c r="E29" s="24">
        <f>IF(B29="","",INDEX(Calc!$P$2:$P$301,I29))</f>
        <v/>
      </c>
      <c r="F29" s="28">
        <f>IF(E29="","",IF(E29&gt;=C_BOA,"Boa",IF(E29&gt;=C_ATENCAO,"Atenção","Crítica")))</f>
        <v/>
      </c>
      <c r="G29" s="1" t="n"/>
      <c r="H29" s="1">
        <f>IF(B29="","",IF($C$4="Maiores notas primeiro",LARGE(Calc!$R$2:$R$301,B29),SMALL(Calc!$R$2:$R$301,B29)))</f>
        <v/>
      </c>
      <c r="I29" s="1">
        <f>IF(B29="","",MATCH(H29,Calc!$R$2:$R$301,0))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28">
        <f>IF(24&lt;=COUNT(Calc!$R$2:$R$301),24,"")</f>
        <v/>
      </c>
      <c r="C30" s="23">
        <f>IF(B30="","",INDEX(Calc!$Q$2:$Q$301,I30))</f>
        <v/>
      </c>
      <c r="D30" s="23">
        <f>IF(B30="","",INDEX(Calc!$O$2:$O$301,I30))</f>
        <v/>
      </c>
      <c r="E30" s="24">
        <f>IF(B30="","",INDEX(Calc!$P$2:$P$301,I30))</f>
        <v/>
      </c>
      <c r="F30" s="28">
        <f>IF(E30="","",IF(E30&gt;=C_BOA,"Boa",IF(E30&gt;=C_ATENCAO,"Atenção","Crítica")))</f>
        <v/>
      </c>
      <c r="G30" s="1" t="n"/>
      <c r="H30" s="1">
        <f>IF(B30="","",IF($C$4="Maiores notas primeiro",LARGE(Calc!$R$2:$R$301,B30),SMALL(Calc!$R$2:$R$301,B30)))</f>
        <v/>
      </c>
      <c r="I30" s="1">
        <f>IF(B30="","",MATCH(H30,Calc!$R$2:$R$301,0))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28">
        <f>IF(25&lt;=COUNT(Calc!$R$2:$R$301),25,"")</f>
        <v/>
      </c>
      <c r="C31" s="23">
        <f>IF(B31="","",INDEX(Calc!$Q$2:$Q$301,I31))</f>
        <v/>
      </c>
      <c r="D31" s="23">
        <f>IF(B31="","",INDEX(Calc!$O$2:$O$301,I31))</f>
        <v/>
      </c>
      <c r="E31" s="24">
        <f>IF(B31="","",INDEX(Calc!$P$2:$P$301,I31))</f>
        <v/>
      </c>
      <c r="F31" s="28">
        <f>IF(E31="","",IF(E31&gt;=C_BOA,"Boa",IF(E31&gt;=C_ATENCAO,"Atenção","Crítica")))</f>
        <v/>
      </c>
      <c r="G31" s="1" t="n"/>
      <c r="H31" s="1">
        <f>IF(B31="","",IF($C$4="Maiores notas primeiro",LARGE(Calc!$R$2:$R$301,B31),SMALL(Calc!$R$2:$R$301,B31)))</f>
        <v/>
      </c>
      <c r="I31" s="1">
        <f>IF(B31="","",MATCH(H31,Calc!$R$2:$R$301,0))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28">
        <f>IF(26&lt;=COUNT(Calc!$R$2:$R$301),26,"")</f>
        <v/>
      </c>
      <c r="C32" s="23">
        <f>IF(B32="","",INDEX(Calc!$Q$2:$Q$301,I32))</f>
        <v/>
      </c>
      <c r="D32" s="23">
        <f>IF(B32="","",INDEX(Calc!$O$2:$O$301,I32))</f>
        <v/>
      </c>
      <c r="E32" s="24">
        <f>IF(B32="","",INDEX(Calc!$P$2:$P$301,I32))</f>
        <v/>
      </c>
      <c r="F32" s="28">
        <f>IF(E32="","",IF(E32&gt;=C_BOA,"Boa",IF(E32&gt;=C_ATENCAO,"Atenção","Crítica")))</f>
        <v/>
      </c>
      <c r="G32" s="1" t="n"/>
      <c r="H32" s="1">
        <f>IF(B32="","",IF($C$4="Maiores notas primeiro",LARGE(Calc!$R$2:$R$301,B32),SMALL(Calc!$R$2:$R$301,B32)))</f>
        <v/>
      </c>
      <c r="I32" s="1">
        <f>IF(B32="","",MATCH(H32,Calc!$R$2:$R$301,0))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28">
        <f>IF(27&lt;=COUNT(Calc!$R$2:$R$301),27,"")</f>
        <v/>
      </c>
      <c r="C33" s="23">
        <f>IF(B33="","",INDEX(Calc!$Q$2:$Q$301,I33))</f>
        <v/>
      </c>
      <c r="D33" s="23">
        <f>IF(B33="","",INDEX(Calc!$O$2:$O$301,I33))</f>
        <v/>
      </c>
      <c r="E33" s="24">
        <f>IF(B33="","",INDEX(Calc!$P$2:$P$301,I33))</f>
        <v/>
      </c>
      <c r="F33" s="28">
        <f>IF(E33="","",IF(E33&gt;=C_BOA,"Boa",IF(E33&gt;=C_ATENCAO,"Atenção","Crítica")))</f>
        <v/>
      </c>
      <c r="G33" s="1" t="n"/>
      <c r="H33" s="1">
        <f>IF(B33="","",IF($C$4="Maiores notas primeiro",LARGE(Calc!$R$2:$R$301,B33),SMALL(Calc!$R$2:$R$301,B33)))</f>
        <v/>
      </c>
      <c r="I33" s="1">
        <f>IF(B33="","",MATCH(H33,Calc!$R$2:$R$301,0))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28">
        <f>IF(28&lt;=COUNT(Calc!$R$2:$R$301),28,"")</f>
        <v/>
      </c>
      <c r="C34" s="23">
        <f>IF(B34="","",INDEX(Calc!$Q$2:$Q$301,I34))</f>
        <v/>
      </c>
      <c r="D34" s="23">
        <f>IF(B34="","",INDEX(Calc!$O$2:$O$301,I34))</f>
        <v/>
      </c>
      <c r="E34" s="24">
        <f>IF(B34="","",INDEX(Calc!$P$2:$P$301,I34))</f>
        <v/>
      </c>
      <c r="F34" s="28">
        <f>IF(E34="","",IF(E34&gt;=C_BOA,"Boa",IF(E34&gt;=C_ATENCAO,"Atenção","Crítica")))</f>
        <v/>
      </c>
      <c r="G34" s="1" t="n"/>
      <c r="H34" s="1">
        <f>IF(B34="","",IF($C$4="Maiores notas primeiro",LARGE(Calc!$R$2:$R$301,B34),SMALL(Calc!$R$2:$R$301,B34)))</f>
        <v/>
      </c>
      <c r="I34" s="1">
        <f>IF(B34="","",MATCH(H34,Calc!$R$2:$R$301,0))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28">
        <f>IF(29&lt;=COUNT(Calc!$R$2:$R$301),29,"")</f>
        <v/>
      </c>
      <c r="C35" s="23">
        <f>IF(B35="","",INDEX(Calc!$Q$2:$Q$301,I35))</f>
        <v/>
      </c>
      <c r="D35" s="23">
        <f>IF(B35="","",INDEX(Calc!$O$2:$O$301,I35))</f>
        <v/>
      </c>
      <c r="E35" s="24">
        <f>IF(B35="","",INDEX(Calc!$P$2:$P$301,I35))</f>
        <v/>
      </c>
      <c r="F35" s="28">
        <f>IF(E35="","",IF(E35&gt;=C_BOA,"Boa",IF(E35&gt;=C_ATENCAO,"Atenção","Crítica")))</f>
        <v/>
      </c>
      <c r="G35" s="1" t="n"/>
      <c r="H35" s="1">
        <f>IF(B35="","",IF($C$4="Maiores notas primeiro",LARGE(Calc!$R$2:$R$301,B35),SMALL(Calc!$R$2:$R$301,B35)))</f>
        <v/>
      </c>
      <c r="I35" s="1">
        <f>IF(B35="","",MATCH(H35,Calc!$R$2:$R$301,0))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28">
        <f>IF(30&lt;=COUNT(Calc!$R$2:$R$301),30,"")</f>
        <v/>
      </c>
      <c r="C36" s="23">
        <f>IF(B36="","",INDEX(Calc!$Q$2:$Q$301,I36))</f>
        <v/>
      </c>
      <c r="D36" s="23">
        <f>IF(B36="","",INDEX(Calc!$O$2:$O$301,I36))</f>
        <v/>
      </c>
      <c r="E36" s="24">
        <f>IF(B36="","",INDEX(Calc!$P$2:$P$301,I36))</f>
        <v/>
      </c>
      <c r="F36" s="28">
        <f>IF(E36="","",IF(E36&gt;=C_BOA,"Boa",IF(E36&gt;=C_ATENCAO,"Atenção","Crítica")))</f>
        <v/>
      </c>
      <c r="G36" s="1" t="n"/>
      <c r="H36" s="1">
        <f>IF(B36="","",IF($C$4="Maiores notas primeiro",LARGE(Calc!$R$2:$R$301,B36),SMALL(Calc!$R$2:$R$301,B36)))</f>
        <v/>
      </c>
      <c r="I36" s="1">
        <f>IF(B36="","",MATCH(H36,Calc!$R$2:$R$301,0))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28">
        <f>IF(31&lt;=COUNT(Calc!$R$2:$R$301),31,"")</f>
        <v/>
      </c>
      <c r="C37" s="23">
        <f>IF(B37="","",INDEX(Calc!$Q$2:$Q$301,I37))</f>
        <v/>
      </c>
      <c r="D37" s="23">
        <f>IF(B37="","",INDEX(Calc!$O$2:$O$301,I37))</f>
        <v/>
      </c>
      <c r="E37" s="24">
        <f>IF(B37="","",INDEX(Calc!$P$2:$P$301,I37))</f>
        <v/>
      </c>
      <c r="F37" s="28">
        <f>IF(E37="","",IF(E37&gt;=C_BOA,"Boa",IF(E37&gt;=C_ATENCAO,"Atenção","Crítica")))</f>
        <v/>
      </c>
      <c r="G37" s="1" t="n"/>
      <c r="H37" s="1">
        <f>IF(B37="","",IF($C$4="Maiores notas primeiro",LARGE(Calc!$R$2:$R$301,B37),SMALL(Calc!$R$2:$R$301,B37)))</f>
        <v/>
      </c>
      <c r="I37" s="1">
        <f>IF(B37="","",MATCH(H37,Calc!$R$2:$R$301,0))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28">
        <f>IF(32&lt;=COUNT(Calc!$R$2:$R$301),32,"")</f>
        <v/>
      </c>
      <c r="C38" s="23">
        <f>IF(B38="","",INDEX(Calc!$Q$2:$Q$301,I38))</f>
        <v/>
      </c>
      <c r="D38" s="23">
        <f>IF(B38="","",INDEX(Calc!$O$2:$O$301,I38))</f>
        <v/>
      </c>
      <c r="E38" s="24">
        <f>IF(B38="","",INDEX(Calc!$P$2:$P$301,I38))</f>
        <v/>
      </c>
      <c r="F38" s="28">
        <f>IF(E38="","",IF(E38&gt;=C_BOA,"Boa",IF(E38&gt;=C_ATENCAO,"Atenção","Crítica")))</f>
        <v/>
      </c>
      <c r="G38" s="1" t="n"/>
      <c r="H38" s="1">
        <f>IF(B38="","",IF($C$4="Maiores notas primeiro",LARGE(Calc!$R$2:$R$301,B38),SMALL(Calc!$R$2:$R$301,B38)))</f>
        <v/>
      </c>
      <c r="I38" s="1">
        <f>IF(B38="","",MATCH(H38,Calc!$R$2:$R$301,0))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28">
        <f>IF(33&lt;=COUNT(Calc!$R$2:$R$301),33,"")</f>
        <v/>
      </c>
      <c r="C39" s="23">
        <f>IF(B39="","",INDEX(Calc!$Q$2:$Q$301,I39))</f>
        <v/>
      </c>
      <c r="D39" s="23">
        <f>IF(B39="","",INDEX(Calc!$O$2:$O$301,I39))</f>
        <v/>
      </c>
      <c r="E39" s="24">
        <f>IF(B39="","",INDEX(Calc!$P$2:$P$301,I39))</f>
        <v/>
      </c>
      <c r="F39" s="28">
        <f>IF(E39="","",IF(E39&gt;=C_BOA,"Boa",IF(E39&gt;=C_ATENCAO,"Atenção","Crítica")))</f>
        <v/>
      </c>
      <c r="G39" s="1" t="n"/>
      <c r="H39" s="1">
        <f>IF(B39="","",IF($C$4="Maiores notas primeiro",LARGE(Calc!$R$2:$R$301,B39),SMALL(Calc!$R$2:$R$301,B39)))</f>
        <v/>
      </c>
      <c r="I39" s="1">
        <f>IF(B39="","",MATCH(H39,Calc!$R$2:$R$301,0))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28">
        <f>IF(34&lt;=COUNT(Calc!$R$2:$R$301),34,"")</f>
        <v/>
      </c>
      <c r="C40" s="23">
        <f>IF(B40="","",INDEX(Calc!$Q$2:$Q$301,I40))</f>
        <v/>
      </c>
      <c r="D40" s="23">
        <f>IF(B40="","",INDEX(Calc!$O$2:$O$301,I40))</f>
        <v/>
      </c>
      <c r="E40" s="24">
        <f>IF(B40="","",INDEX(Calc!$P$2:$P$301,I40))</f>
        <v/>
      </c>
      <c r="F40" s="28">
        <f>IF(E40="","",IF(E40&gt;=C_BOA,"Boa",IF(E40&gt;=C_ATENCAO,"Atenção","Crítica")))</f>
        <v/>
      </c>
      <c r="G40" s="1" t="n"/>
      <c r="H40" s="1">
        <f>IF(B40="","",IF($C$4="Maiores notas primeiro",LARGE(Calc!$R$2:$R$301,B40),SMALL(Calc!$R$2:$R$301,B40)))</f>
        <v/>
      </c>
      <c r="I40" s="1">
        <f>IF(B40="","",MATCH(H40,Calc!$R$2:$R$301,0))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28">
        <f>IF(35&lt;=COUNT(Calc!$R$2:$R$301),35,"")</f>
        <v/>
      </c>
      <c r="C41" s="23">
        <f>IF(B41="","",INDEX(Calc!$Q$2:$Q$301,I41))</f>
        <v/>
      </c>
      <c r="D41" s="23">
        <f>IF(B41="","",INDEX(Calc!$O$2:$O$301,I41))</f>
        <v/>
      </c>
      <c r="E41" s="24">
        <f>IF(B41="","",INDEX(Calc!$P$2:$P$301,I41))</f>
        <v/>
      </c>
      <c r="F41" s="28">
        <f>IF(E41="","",IF(E41&gt;=C_BOA,"Boa",IF(E41&gt;=C_ATENCAO,"Atenção","Crítica")))</f>
        <v/>
      </c>
      <c r="G41" s="1" t="n"/>
      <c r="H41" s="1">
        <f>IF(B41="","",IF($C$4="Maiores notas primeiro",LARGE(Calc!$R$2:$R$301,B41),SMALL(Calc!$R$2:$R$301,B41)))</f>
        <v/>
      </c>
      <c r="I41" s="1">
        <f>IF(B41="","",MATCH(H41,Calc!$R$2:$R$301,0))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28">
        <f>IF(36&lt;=COUNT(Calc!$R$2:$R$301),36,"")</f>
        <v/>
      </c>
      <c r="C42" s="23">
        <f>IF(B42="","",INDEX(Calc!$Q$2:$Q$301,I42))</f>
        <v/>
      </c>
      <c r="D42" s="23">
        <f>IF(B42="","",INDEX(Calc!$O$2:$O$301,I42))</f>
        <v/>
      </c>
      <c r="E42" s="24">
        <f>IF(B42="","",INDEX(Calc!$P$2:$P$301,I42))</f>
        <v/>
      </c>
      <c r="F42" s="28">
        <f>IF(E42="","",IF(E42&gt;=C_BOA,"Boa",IF(E42&gt;=C_ATENCAO,"Atenção","Crítica")))</f>
        <v/>
      </c>
      <c r="G42" s="1" t="n"/>
      <c r="H42" s="1">
        <f>IF(B42="","",IF($C$4="Maiores notas primeiro",LARGE(Calc!$R$2:$R$301,B42),SMALL(Calc!$R$2:$R$301,B42)))</f>
        <v/>
      </c>
      <c r="I42" s="1">
        <f>IF(B42="","",MATCH(H42,Calc!$R$2:$R$301,0))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28">
        <f>IF(37&lt;=COUNT(Calc!$R$2:$R$301),37,"")</f>
        <v/>
      </c>
      <c r="C43" s="23">
        <f>IF(B43="","",INDEX(Calc!$Q$2:$Q$301,I43))</f>
        <v/>
      </c>
      <c r="D43" s="23">
        <f>IF(B43="","",INDEX(Calc!$O$2:$O$301,I43))</f>
        <v/>
      </c>
      <c r="E43" s="24">
        <f>IF(B43="","",INDEX(Calc!$P$2:$P$301,I43))</f>
        <v/>
      </c>
      <c r="F43" s="28">
        <f>IF(E43="","",IF(E43&gt;=C_BOA,"Boa",IF(E43&gt;=C_ATENCAO,"Atenção","Crítica")))</f>
        <v/>
      </c>
      <c r="G43" s="1" t="n"/>
      <c r="H43" s="1">
        <f>IF(B43="","",IF($C$4="Maiores notas primeiro",LARGE(Calc!$R$2:$R$301,B43),SMALL(Calc!$R$2:$R$301,B43)))</f>
        <v/>
      </c>
      <c r="I43" s="1">
        <f>IF(B43="","",MATCH(H43,Calc!$R$2:$R$301,0))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28">
        <f>IF(38&lt;=COUNT(Calc!$R$2:$R$301),38,"")</f>
        <v/>
      </c>
      <c r="C44" s="23">
        <f>IF(B44="","",INDEX(Calc!$Q$2:$Q$301,I44))</f>
        <v/>
      </c>
      <c r="D44" s="23">
        <f>IF(B44="","",INDEX(Calc!$O$2:$O$301,I44))</f>
        <v/>
      </c>
      <c r="E44" s="24">
        <f>IF(B44="","",INDEX(Calc!$P$2:$P$301,I44))</f>
        <v/>
      </c>
      <c r="F44" s="28">
        <f>IF(E44="","",IF(E44&gt;=C_BOA,"Boa",IF(E44&gt;=C_ATENCAO,"Atenção","Crítica")))</f>
        <v/>
      </c>
      <c r="G44" s="1" t="n"/>
      <c r="H44" s="1">
        <f>IF(B44="","",IF($C$4="Maiores notas primeiro",LARGE(Calc!$R$2:$R$301,B44),SMALL(Calc!$R$2:$R$301,B44)))</f>
        <v/>
      </c>
      <c r="I44" s="1">
        <f>IF(B44="","",MATCH(H44,Calc!$R$2:$R$301,0))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28">
        <f>IF(39&lt;=COUNT(Calc!$R$2:$R$301),39,"")</f>
        <v/>
      </c>
      <c r="C45" s="23">
        <f>IF(B45="","",INDEX(Calc!$Q$2:$Q$301,I45))</f>
        <v/>
      </c>
      <c r="D45" s="23">
        <f>IF(B45="","",INDEX(Calc!$O$2:$O$301,I45))</f>
        <v/>
      </c>
      <c r="E45" s="24">
        <f>IF(B45="","",INDEX(Calc!$P$2:$P$301,I45))</f>
        <v/>
      </c>
      <c r="F45" s="28">
        <f>IF(E45="","",IF(E45&gt;=C_BOA,"Boa",IF(E45&gt;=C_ATENCAO,"Atenção","Crítica")))</f>
        <v/>
      </c>
      <c r="G45" s="1" t="n"/>
      <c r="H45" s="1">
        <f>IF(B45="","",IF($C$4="Maiores notas primeiro",LARGE(Calc!$R$2:$R$301,B45),SMALL(Calc!$R$2:$R$301,B45)))</f>
        <v/>
      </c>
      <c r="I45" s="1">
        <f>IF(B45="","",MATCH(H45,Calc!$R$2:$R$301,0))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28">
        <f>IF(40&lt;=COUNT(Calc!$R$2:$R$301),40,"")</f>
        <v/>
      </c>
      <c r="C46" s="23">
        <f>IF(B46="","",INDEX(Calc!$Q$2:$Q$301,I46))</f>
        <v/>
      </c>
      <c r="D46" s="23">
        <f>IF(B46="","",INDEX(Calc!$O$2:$O$301,I46))</f>
        <v/>
      </c>
      <c r="E46" s="24">
        <f>IF(B46="","",INDEX(Calc!$P$2:$P$301,I46))</f>
        <v/>
      </c>
      <c r="F46" s="28">
        <f>IF(E46="","",IF(E46&gt;=C_BOA,"Boa",IF(E46&gt;=C_ATENCAO,"Atenção","Crítica")))</f>
        <v/>
      </c>
      <c r="G46" s="1" t="n"/>
      <c r="H46" s="1">
        <f>IF(B46="","",IF($C$4="Maiores notas primeiro",LARGE(Calc!$R$2:$R$301,B46),SMALL(Calc!$R$2:$R$301,B46)))</f>
        <v/>
      </c>
      <c r="I46" s="1">
        <f>IF(B46="","",MATCH(H46,Calc!$R$2:$R$301,0))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28">
        <f>IF(41&lt;=COUNT(Calc!$R$2:$R$301),41,"")</f>
        <v/>
      </c>
      <c r="C47" s="23">
        <f>IF(B47="","",INDEX(Calc!$Q$2:$Q$301,I47))</f>
        <v/>
      </c>
      <c r="D47" s="23">
        <f>IF(B47="","",INDEX(Calc!$O$2:$O$301,I47))</f>
        <v/>
      </c>
      <c r="E47" s="24">
        <f>IF(B47="","",INDEX(Calc!$P$2:$P$301,I47))</f>
        <v/>
      </c>
      <c r="F47" s="28">
        <f>IF(E47="","",IF(E47&gt;=C_BOA,"Boa",IF(E47&gt;=C_ATENCAO,"Atenção","Crítica")))</f>
        <v/>
      </c>
      <c r="G47" s="1" t="n"/>
      <c r="H47" s="1">
        <f>IF(B47="","",IF($C$4="Maiores notas primeiro",LARGE(Calc!$R$2:$R$301,B47),SMALL(Calc!$R$2:$R$301,B47)))</f>
        <v/>
      </c>
      <c r="I47" s="1">
        <f>IF(B47="","",MATCH(H47,Calc!$R$2:$R$301,0))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28">
        <f>IF(42&lt;=COUNT(Calc!$R$2:$R$301),42,"")</f>
        <v/>
      </c>
      <c r="C48" s="23">
        <f>IF(B48="","",INDEX(Calc!$Q$2:$Q$301,I48))</f>
        <v/>
      </c>
      <c r="D48" s="23">
        <f>IF(B48="","",INDEX(Calc!$O$2:$O$301,I48))</f>
        <v/>
      </c>
      <c r="E48" s="24">
        <f>IF(B48="","",INDEX(Calc!$P$2:$P$301,I48))</f>
        <v/>
      </c>
      <c r="F48" s="28">
        <f>IF(E48="","",IF(E48&gt;=C_BOA,"Boa",IF(E48&gt;=C_ATENCAO,"Atenção","Crítica")))</f>
        <v/>
      </c>
      <c r="G48" s="1" t="n"/>
      <c r="H48" s="1">
        <f>IF(B48="","",IF($C$4="Maiores notas primeiro",LARGE(Calc!$R$2:$R$301,B48),SMALL(Calc!$R$2:$R$301,B48)))</f>
        <v/>
      </c>
      <c r="I48" s="1">
        <f>IF(B48="","",MATCH(H48,Calc!$R$2:$R$301,0))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28">
        <f>IF(43&lt;=COUNT(Calc!$R$2:$R$301),43,"")</f>
        <v/>
      </c>
      <c r="C49" s="23">
        <f>IF(B49="","",INDEX(Calc!$Q$2:$Q$301,I49))</f>
        <v/>
      </c>
      <c r="D49" s="23">
        <f>IF(B49="","",INDEX(Calc!$O$2:$O$301,I49))</f>
        <v/>
      </c>
      <c r="E49" s="24">
        <f>IF(B49="","",INDEX(Calc!$P$2:$P$301,I49))</f>
        <v/>
      </c>
      <c r="F49" s="28">
        <f>IF(E49="","",IF(E49&gt;=C_BOA,"Boa",IF(E49&gt;=C_ATENCAO,"Atenção","Crítica")))</f>
        <v/>
      </c>
      <c r="G49" s="1" t="n"/>
      <c r="H49" s="1">
        <f>IF(B49="","",IF($C$4="Maiores notas primeiro",LARGE(Calc!$R$2:$R$301,B49),SMALL(Calc!$R$2:$R$301,B49)))</f>
        <v/>
      </c>
      <c r="I49" s="1">
        <f>IF(B49="","",MATCH(H49,Calc!$R$2:$R$301,0))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28">
        <f>IF(44&lt;=COUNT(Calc!$R$2:$R$301),44,"")</f>
        <v/>
      </c>
      <c r="C50" s="23">
        <f>IF(B50="","",INDEX(Calc!$Q$2:$Q$301,I50))</f>
        <v/>
      </c>
      <c r="D50" s="23">
        <f>IF(B50="","",INDEX(Calc!$O$2:$O$301,I50))</f>
        <v/>
      </c>
      <c r="E50" s="24">
        <f>IF(B50="","",INDEX(Calc!$P$2:$P$301,I50))</f>
        <v/>
      </c>
      <c r="F50" s="28">
        <f>IF(E50="","",IF(E50&gt;=C_BOA,"Boa",IF(E50&gt;=C_ATENCAO,"Atenção","Crítica")))</f>
        <v/>
      </c>
      <c r="G50" s="1" t="n"/>
      <c r="H50" s="1">
        <f>IF(B50="","",IF($C$4="Maiores notas primeiro",LARGE(Calc!$R$2:$R$301,B50),SMALL(Calc!$R$2:$R$301,B50)))</f>
        <v/>
      </c>
      <c r="I50" s="1">
        <f>IF(B50="","",MATCH(H50,Calc!$R$2:$R$301,0))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28">
        <f>IF(45&lt;=COUNT(Calc!$R$2:$R$301),45,"")</f>
        <v/>
      </c>
      <c r="C51" s="23">
        <f>IF(B51="","",INDEX(Calc!$Q$2:$Q$301,I51))</f>
        <v/>
      </c>
      <c r="D51" s="23">
        <f>IF(B51="","",INDEX(Calc!$O$2:$O$301,I51))</f>
        <v/>
      </c>
      <c r="E51" s="24">
        <f>IF(B51="","",INDEX(Calc!$P$2:$P$301,I51))</f>
        <v/>
      </c>
      <c r="F51" s="28">
        <f>IF(E51="","",IF(E51&gt;=C_BOA,"Boa",IF(E51&gt;=C_ATENCAO,"Atenção","Crítica")))</f>
        <v/>
      </c>
      <c r="G51" s="1" t="n"/>
      <c r="H51" s="1">
        <f>IF(B51="","",IF($C$4="Maiores notas primeiro",LARGE(Calc!$R$2:$R$301,B51),SMALL(Calc!$R$2:$R$301,B51)))</f>
        <v/>
      </c>
      <c r="I51" s="1">
        <f>IF(B51="","",MATCH(H51,Calc!$R$2:$R$301,0))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28">
        <f>IF(46&lt;=COUNT(Calc!$R$2:$R$301),46,"")</f>
        <v/>
      </c>
      <c r="C52" s="23">
        <f>IF(B52="","",INDEX(Calc!$Q$2:$Q$301,I52))</f>
        <v/>
      </c>
      <c r="D52" s="23">
        <f>IF(B52="","",INDEX(Calc!$O$2:$O$301,I52))</f>
        <v/>
      </c>
      <c r="E52" s="24">
        <f>IF(B52="","",INDEX(Calc!$P$2:$P$301,I52))</f>
        <v/>
      </c>
      <c r="F52" s="28">
        <f>IF(E52="","",IF(E52&gt;=C_BOA,"Boa",IF(E52&gt;=C_ATENCAO,"Atenção","Crítica")))</f>
        <v/>
      </c>
      <c r="G52" s="1" t="n"/>
      <c r="H52" s="1">
        <f>IF(B52="","",IF($C$4="Maiores notas primeiro",LARGE(Calc!$R$2:$R$301,B52),SMALL(Calc!$R$2:$R$301,B52)))</f>
        <v/>
      </c>
      <c r="I52" s="1">
        <f>IF(B52="","",MATCH(H52,Calc!$R$2:$R$301,0))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28">
        <f>IF(47&lt;=COUNT(Calc!$R$2:$R$301),47,"")</f>
        <v/>
      </c>
      <c r="C53" s="23">
        <f>IF(B53="","",INDEX(Calc!$Q$2:$Q$301,I53))</f>
        <v/>
      </c>
      <c r="D53" s="23">
        <f>IF(B53="","",INDEX(Calc!$O$2:$O$301,I53))</f>
        <v/>
      </c>
      <c r="E53" s="24">
        <f>IF(B53="","",INDEX(Calc!$P$2:$P$301,I53))</f>
        <v/>
      </c>
      <c r="F53" s="28">
        <f>IF(E53="","",IF(E53&gt;=C_BOA,"Boa",IF(E53&gt;=C_ATENCAO,"Atenção","Crítica")))</f>
        <v/>
      </c>
      <c r="G53" s="1" t="n"/>
      <c r="H53" s="1">
        <f>IF(B53="","",IF($C$4="Maiores notas primeiro",LARGE(Calc!$R$2:$R$301,B53),SMALL(Calc!$R$2:$R$301,B53)))</f>
        <v/>
      </c>
      <c r="I53" s="1">
        <f>IF(B53="","",MATCH(H53,Calc!$R$2:$R$301,0))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28">
        <f>IF(48&lt;=COUNT(Calc!$R$2:$R$301),48,"")</f>
        <v/>
      </c>
      <c r="C54" s="23">
        <f>IF(B54="","",INDEX(Calc!$Q$2:$Q$301,I54))</f>
        <v/>
      </c>
      <c r="D54" s="23">
        <f>IF(B54="","",INDEX(Calc!$O$2:$O$301,I54))</f>
        <v/>
      </c>
      <c r="E54" s="24">
        <f>IF(B54="","",INDEX(Calc!$P$2:$P$301,I54))</f>
        <v/>
      </c>
      <c r="F54" s="28">
        <f>IF(E54="","",IF(E54&gt;=C_BOA,"Boa",IF(E54&gt;=C_ATENCAO,"Atenção","Crítica")))</f>
        <v/>
      </c>
      <c r="G54" s="1" t="n"/>
      <c r="H54" s="1">
        <f>IF(B54="","",IF($C$4="Maiores notas primeiro",LARGE(Calc!$R$2:$R$301,B54),SMALL(Calc!$R$2:$R$301,B54)))</f>
        <v/>
      </c>
      <c r="I54" s="1">
        <f>IF(B54="","",MATCH(H54,Calc!$R$2:$R$301,0))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28">
        <f>IF(49&lt;=COUNT(Calc!$R$2:$R$301),49,"")</f>
        <v/>
      </c>
      <c r="C55" s="23">
        <f>IF(B55="","",INDEX(Calc!$Q$2:$Q$301,I55))</f>
        <v/>
      </c>
      <c r="D55" s="23">
        <f>IF(B55="","",INDEX(Calc!$O$2:$O$301,I55))</f>
        <v/>
      </c>
      <c r="E55" s="24">
        <f>IF(B55="","",INDEX(Calc!$P$2:$P$301,I55))</f>
        <v/>
      </c>
      <c r="F55" s="28">
        <f>IF(E55="","",IF(E55&gt;=C_BOA,"Boa",IF(E55&gt;=C_ATENCAO,"Atenção","Crítica")))</f>
        <v/>
      </c>
      <c r="G55" s="1" t="n"/>
      <c r="H55" s="1">
        <f>IF(B55="","",IF($C$4="Maiores notas primeiro",LARGE(Calc!$R$2:$R$301,B55),SMALL(Calc!$R$2:$R$301,B55)))</f>
        <v/>
      </c>
      <c r="I55" s="1">
        <f>IF(B55="","",MATCH(H55,Calc!$R$2:$R$301,0))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28">
        <f>IF(50&lt;=COUNT(Calc!$R$2:$R$301),50,"")</f>
        <v/>
      </c>
      <c r="C56" s="23">
        <f>IF(B56="","",INDEX(Calc!$Q$2:$Q$301,I56))</f>
        <v/>
      </c>
      <c r="D56" s="23">
        <f>IF(B56="","",INDEX(Calc!$O$2:$O$301,I56))</f>
        <v/>
      </c>
      <c r="E56" s="24">
        <f>IF(B56="","",INDEX(Calc!$P$2:$P$301,I56))</f>
        <v/>
      </c>
      <c r="F56" s="28">
        <f>IF(E56="","",IF(E56&gt;=C_BOA,"Boa",IF(E56&gt;=C_ATENCAO,"Atenção","Crítica")))</f>
        <v/>
      </c>
      <c r="G56" s="1" t="n"/>
      <c r="H56" s="1">
        <f>IF(B56="","",IF($C$4="Maiores notas primeiro",LARGE(Calc!$R$2:$R$301,B56),SMALL(Calc!$R$2:$R$301,B56)))</f>
        <v/>
      </c>
      <c r="I56" s="1">
        <f>IF(B56="","",MATCH(H56,Calc!$R$2:$R$301,0))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28">
        <f>IF(51&lt;=COUNT(Calc!$R$2:$R$301),51,"")</f>
        <v/>
      </c>
      <c r="C57" s="23">
        <f>IF(B57="","",INDEX(Calc!$Q$2:$Q$301,I57))</f>
        <v/>
      </c>
      <c r="D57" s="23">
        <f>IF(B57="","",INDEX(Calc!$O$2:$O$301,I57))</f>
        <v/>
      </c>
      <c r="E57" s="24">
        <f>IF(B57="","",INDEX(Calc!$P$2:$P$301,I57))</f>
        <v/>
      </c>
      <c r="F57" s="28">
        <f>IF(E57="","",IF(E57&gt;=C_BOA,"Boa",IF(E57&gt;=C_ATENCAO,"Atenção","Crítica")))</f>
        <v/>
      </c>
      <c r="G57" s="1" t="n"/>
      <c r="H57" s="1">
        <f>IF(B57="","",IF($C$4="Maiores notas primeiro",LARGE(Calc!$R$2:$R$301,B57),SMALL(Calc!$R$2:$R$301,B57)))</f>
        <v/>
      </c>
      <c r="I57" s="1">
        <f>IF(B57="","",MATCH(H57,Calc!$R$2:$R$301,0))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28">
        <f>IF(52&lt;=COUNT(Calc!$R$2:$R$301),52,"")</f>
        <v/>
      </c>
      <c r="C58" s="23">
        <f>IF(B58="","",INDEX(Calc!$Q$2:$Q$301,I58))</f>
        <v/>
      </c>
      <c r="D58" s="23">
        <f>IF(B58="","",INDEX(Calc!$O$2:$O$301,I58))</f>
        <v/>
      </c>
      <c r="E58" s="24">
        <f>IF(B58="","",INDEX(Calc!$P$2:$P$301,I58))</f>
        <v/>
      </c>
      <c r="F58" s="28">
        <f>IF(E58="","",IF(E58&gt;=C_BOA,"Boa",IF(E58&gt;=C_ATENCAO,"Atenção","Crítica")))</f>
        <v/>
      </c>
      <c r="G58" s="1" t="n"/>
      <c r="H58" s="1">
        <f>IF(B58="","",IF($C$4="Maiores notas primeiro",LARGE(Calc!$R$2:$R$301,B58),SMALL(Calc!$R$2:$R$301,B58)))</f>
        <v/>
      </c>
      <c r="I58" s="1">
        <f>IF(B58="","",MATCH(H58,Calc!$R$2:$R$301,0))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28">
        <f>IF(53&lt;=COUNT(Calc!$R$2:$R$301),53,"")</f>
        <v/>
      </c>
      <c r="C59" s="23">
        <f>IF(B59="","",INDEX(Calc!$Q$2:$Q$301,I59))</f>
        <v/>
      </c>
      <c r="D59" s="23">
        <f>IF(B59="","",INDEX(Calc!$O$2:$O$301,I59))</f>
        <v/>
      </c>
      <c r="E59" s="24">
        <f>IF(B59="","",INDEX(Calc!$P$2:$P$301,I59))</f>
        <v/>
      </c>
      <c r="F59" s="28">
        <f>IF(E59="","",IF(E59&gt;=C_BOA,"Boa",IF(E59&gt;=C_ATENCAO,"Atenção","Crítica")))</f>
        <v/>
      </c>
      <c r="G59" s="1" t="n"/>
      <c r="H59" s="1">
        <f>IF(B59="","",IF($C$4="Maiores notas primeiro",LARGE(Calc!$R$2:$R$301,B59),SMALL(Calc!$R$2:$R$301,B59)))</f>
        <v/>
      </c>
      <c r="I59" s="1">
        <f>IF(B59="","",MATCH(H59,Calc!$R$2:$R$301,0))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28">
        <f>IF(54&lt;=COUNT(Calc!$R$2:$R$301),54,"")</f>
        <v/>
      </c>
      <c r="C60" s="23">
        <f>IF(B60="","",INDEX(Calc!$Q$2:$Q$301,I60))</f>
        <v/>
      </c>
      <c r="D60" s="23">
        <f>IF(B60="","",INDEX(Calc!$O$2:$O$301,I60))</f>
        <v/>
      </c>
      <c r="E60" s="24">
        <f>IF(B60="","",INDEX(Calc!$P$2:$P$301,I60))</f>
        <v/>
      </c>
      <c r="F60" s="28">
        <f>IF(E60="","",IF(E60&gt;=C_BOA,"Boa",IF(E60&gt;=C_ATENCAO,"Atenção","Crítica")))</f>
        <v/>
      </c>
      <c r="G60" s="1" t="n"/>
      <c r="H60" s="1">
        <f>IF(B60="","",IF($C$4="Maiores notas primeiro",LARGE(Calc!$R$2:$R$301,B60),SMALL(Calc!$R$2:$R$301,B60)))</f>
        <v/>
      </c>
      <c r="I60" s="1">
        <f>IF(B60="","",MATCH(H60,Calc!$R$2:$R$301,0))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28">
        <f>IF(55&lt;=COUNT(Calc!$R$2:$R$301),55,"")</f>
        <v/>
      </c>
      <c r="C61" s="23">
        <f>IF(B61="","",INDEX(Calc!$Q$2:$Q$301,I61))</f>
        <v/>
      </c>
      <c r="D61" s="23">
        <f>IF(B61="","",INDEX(Calc!$O$2:$O$301,I61))</f>
        <v/>
      </c>
      <c r="E61" s="24">
        <f>IF(B61="","",INDEX(Calc!$P$2:$P$301,I61))</f>
        <v/>
      </c>
      <c r="F61" s="28">
        <f>IF(E61="","",IF(E61&gt;=C_BOA,"Boa",IF(E61&gt;=C_ATENCAO,"Atenção","Crítica")))</f>
        <v/>
      </c>
      <c r="G61" s="1" t="n"/>
      <c r="H61" s="1">
        <f>IF(B61="","",IF($C$4="Maiores notas primeiro",LARGE(Calc!$R$2:$R$301,B61),SMALL(Calc!$R$2:$R$301,B61)))</f>
        <v/>
      </c>
      <c r="I61" s="1">
        <f>IF(B61="","",MATCH(H61,Calc!$R$2:$R$301,0))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28">
        <f>IF(56&lt;=COUNT(Calc!$R$2:$R$301),56,"")</f>
        <v/>
      </c>
      <c r="C62" s="23">
        <f>IF(B62="","",INDEX(Calc!$Q$2:$Q$301,I62))</f>
        <v/>
      </c>
      <c r="D62" s="23">
        <f>IF(B62="","",INDEX(Calc!$O$2:$O$301,I62))</f>
        <v/>
      </c>
      <c r="E62" s="24">
        <f>IF(B62="","",INDEX(Calc!$P$2:$P$301,I62))</f>
        <v/>
      </c>
      <c r="F62" s="28">
        <f>IF(E62="","",IF(E62&gt;=C_BOA,"Boa",IF(E62&gt;=C_ATENCAO,"Atenção","Crítica")))</f>
        <v/>
      </c>
      <c r="G62" s="1" t="n"/>
      <c r="H62" s="1">
        <f>IF(B62="","",IF($C$4="Maiores notas primeiro",LARGE(Calc!$R$2:$R$301,B62),SMALL(Calc!$R$2:$R$301,B62)))</f>
        <v/>
      </c>
      <c r="I62" s="1">
        <f>IF(B62="","",MATCH(H62,Calc!$R$2:$R$301,0))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28">
        <f>IF(57&lt;=COUNT(Calc!$R$2:$R$301),57,"")</f>
        <v/>
      </c>
      <c r="C63" s="23">
        <f>IF(B63="","",INDEX(Calc!$Q$2:$Q$301,I63))</f>
        <v/>
      </c>
      <c r="D63" s="23">
        <f>IF(B63="","",INDEX(Calc!$O$2:$O$301,I63))</f>
        <v/>
      </c>
      <c r="E63" s="24">
        <f>IF(B63="","",INDEX(Calc!$P$2:$P$301,I63))</f>
        <v/>
      </c>
      <c r="F63" s="28">
        <f>IF(E63="","",IF(E63&gt;=C_BOA,"Boa",IF(E63&gt;=C_ATENCAO,"Atenção","Crítica")))</f>
        <v/>
      </c>
      <c r="G63" s="1" t="n"/>
      <c r="H63" s="1">
        <f>IF(B63="","",IF($C$4="Maiores notas primeiro",LARGE(Calc!$R$2:$R$301,B63),SMALL(Calc!$R$2:$R$301,B63)))</f>
        <v/>
      </c>
      <c r="I63" s="1">
        <f>IF(B63="","",MATCH(H63,Calc!$R$2:$R$301,0))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28">
        <f>IF(58&lt;=COUNT(Calc!$R$2:$R$301),58,"")</f>
        <v/>
      </c>
      <c r="C64" s="23">
        <f>IF(B64="","",INDEX(Calc!$Q$2:$Q$301,I64))</f>
        <v/>
      </c>
      <c r="D64" s="23">
        <f>IF(B64="","",INDEX(Calc!$O$2:$O$301,I64))</f>
        <v/>
      </c>
      <c r="E64" s="24">
        <f>IF(B64="","",INDEX(Calc!$P$2:$P$301,I64))</f>
        <v/>
      </c>
      <c r="F64" s="28">
        <f>IF(E64="","",IF(E64&gt;=C_BOA,"Boa",IF(E64&gt;=C_ATENCAO,"Atenção","Crítica")))</f>
        <v/>
      </c>
      <c r="G64" s="1" t="n"/>
      <c r="H64" s="1">
        <f>IF(B64="","",IF($C$4="Maiores notas primeiro",LARGE(Calc!$R$2:$R$301,B64),SMALL(Calc!$R$2:$R$301,B64)))</f>
        <v/>
      </c>
      <c r="I64" s="1">
        <f>IF(B64="","",MATCH(H64,Calc!$R$2:$R$301,0))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28">
        <f>IF(59&lt;=COUNT(Calc!$R$2:$R$301),59,"")</f>
        <v/>
      </c>
      <c r="C65" s="23">
        <f>IF(B65="","",INDEX(Calc!$Q$2:$Q$301,I65))</f>
        <v/>
      </c>
      <c r="D65" s="23">
        <f>IF(B65="","",INDEX(Calc!$O$2:$O$301,I65))</f>
        <v/>
      </c>
      <c r="E65" s="24">
        <f>IF(B65="","",INDEX(Calc!$P$2:$P$301,I65))</f>
        <v/>
      </c>
      <c r="F65" s="28">
        <f>IF(E65="","",IF(E65&gt;=C_BOA,"Boa",IF(E65&gt;=C_ATENCAO,"Atenção","Crítica")))</f>
        <v/>
      </c>
      <c r="G65" s="1" t="n"/>
      <c r="H65" s="1">
        <f>IF(B65="","",IF($C$4="Maiores notas primeiro",LARGE(Calc!$R$2:$R$301,B65),SMALL(Calc!$R$2:$R$301,B65)))</f>
        <v/>
      </c>
      <c r="I65" s="1">
        <f>IF(B65="","",MATCH(H65,Calc!$R$2:$R$301,0))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28">
        <f>IF(60&lt;=COUNT(Calc!$R$2:$R$301),60,"")</f>
        <v/>
      </c>
      <c r="C66" s="23">
        <f>IF(B66="","",INDEX(Calc!$Q$2:$Q$301,I66))</f>
        <v/>
      </c>
      <c r="D66" s="23">
        <f>IF(B66="","",INDEX(Calc!$O$2:$O$301,I66))</f>
        <v/>
      </c>
      <c r="E66" s="24">
        <f>IF(B66="","",INDEX(Calc!$P$2:$P$301,I66))</f>
        <v/>
      </c>
      <c r="F66" s="28">
        <f>IF(E66="","",IF(E66&gt;=C_BOA,"Boa",IF(E66&gt;=C_ATENCAO,"Atenção","Crítica")))</f>
        <v/>
      </c>
      <c r="G66" s="1" t="n"/>
      <c r="H66" s="1">
        <f>IF(B66="","",IF($C$4="Maiores notas primeiro",LARGE(Calc!$R$2:$R$301,B66),SMALL(Calc!$R$2:$R$301,B66)))</f>
        <v/>
      </c>
      <c r="I66" s="1">
        <f>IF(B66="","",MATCH(H66,Calc!$R$2:$R$301,0))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</sheetData>
  <mergeCells count="2">
    <mergeCell ref="B1:B3"/>
    <mergeCell ref="C4:D4"/>
  </mergeCells>
  <conditionalFormatting sqref="F7:F66">
    <cfRule type="expression" priority="1" dxfId="3">
      <formula>F7="Boa"</formula>
    </cfRule>
    <cfRule type="expression" priority="2" dxfId="4">
      <formula>F7="Atenção"</formula>
    </cfRule>
    <cfRule type="expression" priority="3" dxfId="5">
      <formula>F7="Crítica"</formula>
    </cfRule>
  </conditionalFormatting>
  <dataValidations count="1">
    <dataValidation sqref="C4" showDropDown="0" showInputMessage="0" showErrorMessage="0" allowBlank="0" type="list">
      <formula1>"Maiores notas primeiro,Menores notas primeiro"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F6CBD"/>
    <outlinePr summaryBelow="1" summaryRight="1"/>
    <pageSetUpPr fitToPage="1"/>
  </sheetPr>
  <dimension ref="A1:X140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14" customWidth="1" min="4" max="4"/>
    <col width="16" customWidth="1" min="5" max="5"/>
    <col width="8" customWidth="1" min="6" max="6"/>
    <col width="10" customWidth="1" min="7" max="7"/>
    <col width="12" customWidth="1" min="8" max="8"/>
    <col width="14" customWidth="1" min="9" max="9"/>
    <col width="3" customWidth="1" min="10" max="10"/>
    <col hidden="1" width="3" customWidth="1" min="11" max="11"/>
    <col hidden="1" width="3" customWidth="1" min="12" max="12"/>
  </cols>
  <sheetData>
    <row r="1" ht="22" customHeight="1">
      <c r="A1" s="1" t="n"/>
      <c r="B1" s="2" t="inlineStr">
        <is>
          <t>4</t>
        </is>
      </c>
      <c r="C1" s="3" t="inlineStr">
        <is>
          <t>ODS 4 · Educação de Qualidade · Recode — Avaliação Escolas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42" customHeight="1">
      <c r="A2" s="1" t="n"/>
      <c r="C2" s="5" t="inlineStr">
        <is>
          <t>Escolas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24" customHeight="1">
      <c r="A3" s="1" t="n"/>
      <c r="C3" s="6" t="inlineStr">
        <is>
          <t>Ranking das escolas por nota de qualidade (1 a 5). Use as células em azul claro para filtrar.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1" t="n"/>
      <c r="B4" s="31" t="inlineStr">
        <is>
          <t>Ordem</t>
        </is>
      </c>
      <c r="C4" s="34" t="inlineStr">
        <is>
          <t>Maiores notas primeiro</t>
        </is>
      </c>
      <c r="D4" s="22" t="n"/>
      <c r="E4" s="31" t="inlineStr">
        <is>
          <t>Região</t>
        </is>
      </c>
      <c r="F4" s="34" t="inlineStr">
        <is>
          <t>Todas</t>
        </is>
      </c>
      <c r="G4" s="1" t="n"/>
      <c r="H4" s="31" t="inlineStr">
        <is>
          <t>Tipo</t>
        </is>
      </c>
      <c r="I4" s="34" t="inlineStr">
        <is>
          <t>Todos</t>
        </is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33">
        <f>"Escolas no filtro: "&amp;COUNT(Calc!$K$2:$K$301)&amp;"  ·  média: "&amp;IFERROR(TEXT(AVERAGEIFS(Calc!$C$2:$C$301,Calc!$K$2:$K$301,"&gt;=0"),"0.0"),"—")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/>
      <c r="B7" s="20" t="inlineStr">
        <is>
          <t>#</t>
        </is>
      </c>
      <c r="C7" s="20" t="inlineStr">
        <is>
          <t>Escola</t>
        </is>
      </c>
      <c r="D7" s="20" t="inlineStr">
        <is>
          <t>Tipo</t>
        </is>
      </c>
      <c r="E7" s="20" t="inlineStr">
        <is>
          <t>Região</t>
        </is>
      </c>
      <c r="F7" s="20" t="inlineStr">
        <is>
          <t>UF</t>
        </is>
      </c>
      <c r="G7" s="20" t="inlineStr">
        <is>
          <t>Nota</t>
        </is>
      </c>
      <c r="H7" s="20" t="inlineStr">
        <is>
          <t>Faixa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28">
        <f>IF(1&lt;=COUNT(Calc!$K$2:$K$301),1,"")</f>
        <v/>
      </c>
      <c r="C8" s="23">
        <f>IF(B8="","",INDEX(Calc!$B$2:$B$301,L8))</f>
        <v/>
      </c>
      <c r="D8" s="28">
        <f>IF(B8="","",INDEX(Calc!$E$2:$E$301,L8))</f>
        <v/>
      </c>
      <c r="E8" s="28">
        <f>IF(B8="","",INDEX(Calc!$H$2:$H$301,L8))</f>
        <v/>
      </c>
      <c r="F8" s="28">
        <f>IF(B8="","",INDEX(Calc!$G$2:$G$301,L8))</f>
        <v/>
      </c>
      <c r="G8" s="24">
        <f>IF(B8="","",INDEX(Calc!$C$2:$C$301,L8))</f>
        <v/>
      </c>
      <c r="H8" s="28">
        <f>IF(G8="","",IF(G8&gt;=Q_BOA,"Boa",IF(G8&gt;=Q_ATENCAO,"Atenção","Crítica")))</f>
        <v/>
      </c>
      <c r="I8" s="1" t="n"/>
      <c r="J8" s="1" t="n"/>
      <c r="K8" s="1">
        <f>IF(B8="","",IF($C$4="Maiores notas primeiro",LARGE(Calc!$K$2:$K$301,B8),SMALL(Calc!$K$2:$K$301,B8)))</f>
        <v/>
      </c>
      <c r="L8" s="1">
        <f>IF(B8="","",MATCH(K8,Calc!$K$2:$K$301,0))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28">
        <f>IF(2&lt;=COUNT(Calc!$K$2:$K$301),2,"")</f>
        <v/>
      </c>
      <c r="C9" s="23">
        <f>IF(B9="","",INDEX(Calc!$B$2:$B$301,L9))</f>
        <v/>
      </c>
      <c r="D9" s="28">
        <f>IF(B9="","",INDEX(Calc!$E$2:$E$301,L9))</f>
        <v/>
      </c>
      <c r="E9" s="28">
        <f>IF(B9="","",INDEX(Calc!$H$2:$H$301,L9))</f>
        <v/>
      </c>
      <c r="F9" s="28">
        <f>IF(B9="","",INDEX(Calc!$G$2:$G$301,L9))</f>
        <v/>
      </c>
      <c r="G9" s="24">
        <f>IF(B9="","",INDEX(Calc!$C$2:$C$301,L9))</f>
        <v/>
      </c>
      <c r="H9" s="28">
        <f>IF(G9="","",IF(G9&gt;=Q_BOA,"Boa",IF(G9&gt;=Q_ATENCAO,"Atenção","Crítica")))</f>
        <v/>
      </c>
      <c r="I9" s="1" t="n"/>
      <c r="J9" s="1" t="n"/>
      <c r="K9" s="1">
        <f>IF(B9="","",IF($C$4="Maiores notas primeiro",LARGE(Calc!$K$2:$K$301,B9),SMALL(Calc!$K$2:$K$301,B9)))</f>
        <v/>
      </c>
      <c r="L9" s="1">
        <f>IF(B9="","",MATCH(K9,Calc!$K$2:$K$301,0))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 s="1" t="n"/>
      <c r="B10" s="28">
        <f>IF(3&lt;=COUNT(Calc!$K$2:$K$301),3,"")</f>
        <v/>
      </c>
      <c r="C10" s="23">
        <f>IF(B10="","",INDEX(Calc!$B$2:$B$301,L10))</f>
        <v/>
      </c>
      <c r="D10" s="28">
        <f>IF(B10="","",INDEX(Calc!$E$2:$E$301,L10))</f>
        <v/>
      </c>
      <c r="E10" s="28">
        <f>IF(B10="","",INDEX(Calc!$H$2:$H$301,L10))</f>
        <v/>
      </c>
      <c r="F10" s="28">
        <f>IF(B10="","",INDEX(Calc!$G$2:$G$301,L10))</f>
        <v/>
      </c>
      <c r="G10" s="24">
        <f>IF(B10="","",INDEX(Calc!$C$2:$C$301,L10))</f>
        <v/>
      </c>
      <c r="H10" s="28">
        <f>IF(G10="","",IF(G10&gt;=Q_BOA,"Boa",IF(G10&gt;=Q_ATENCAO,"Atenção","Crítica")))</f>
        <v/>
      </c>
      <c r="I10" s="1" t="n"/>
      <c r="J10" s="1" t="n"/>
      <c r="K10" s="1">
        <f>IF(B10="","",IF($C$4="Maiores notas primeiro",LARGE(Calc!$K$2:$K$301,B10),SMALL(Calc!$K$2:$K$301,B10)))</f>
        <v/>
      </c>
      <c r="L10" s="1">
        <f>IF(B10="","",MATCH(K10,Calc!$K$2:$K$301,0))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 s="1" t="n"/>
      <c r="B11" s="28">
        <f>IF(4&lt;=COUNT(Calc!$K$2:$K$301),4,"")</f>
        <v/>
      </c>
      <c r="C11" s="23">
        <f>IF(B11="","",INDEX(Calc!$B$2:$B$301,L11))</f>
        <v/>
      </c>
      <c r="D11" s="28">
        <f>IF(B11="","",INDEX(Calc!$E$2:$E$301,L11))</f>
        <v/>
      </c>
      <c r="E11" s="28">
        <f>IF(B11="","",INDEX(Calc!$H$2:$H$301,L11))</f>
        <v/>
      </c>
      <c r="F11" s="28">
        <f>IF(B11="","",INDEX(Calc!$G$2:$G$301,L11))</f>
        <v/>
      </c>
      <c r="G11" s="24">
        <f>IF(B11="","",INDEX(Calc!$C$2:$C$301,L11))</f>
        <v/>
      </c>
      <c r="H11" s="28">
        <f>IF(G11="","",IF(G11&gt;=Q_BOA,"Boa",IF(G11&gt;=Q_ATENCAO,"Atenção","Crítica")))</f>
        <v/>
      </c>
      <c r="I11" s="1" t="n"/>
      <c r="J11" s="1" t="n"/>
      <c r="K11" s="1">
        <f>IF(B11="","",IF($C$4="Maiores notas primeiro",LARGE(Calc!$K$2:$K$301,B11),SMALL(Calc!$K$2:$K$301,B11)))</f>
        <v/>
      </c>
      <c r="L11" s="1">
        <f>IF(B11="","",MATCH(K11,Calc!$K$2:$K$301,0))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28">
        <f>IF(5&lt;=COUNT(Calc!$K$2:$K$301),5,"")</f>
        <v/>
      </c>
      <c r="C12" s="23">
        <f>IF(B12="","",INDEX(Calc!$B$2:$B$301,L12))</f>
        <v/>
      </c>
      <c r="D12" s="28">
        <f>IF(B12="","",INDEX(Calc!$E$2:$E$301,L12))</f>
        <v/>
      </c>
      <c r="E12" s="28">
        <f>IF(B12="","",INDEX(Calc!$H$2:$H$301,L12))</f>
        <v/>
      </c>
      <c r="F12" s="28">
        <f>IF(B12="","",INDEX(Calc!$G$2:$G$301,L12))</f>
        <v/>
      </c>
      <c r="G12" s="24">
        <f>IF(B12="","",INDEX(Calc!$C$2:$C$301,L12))</f>
        <v/>
      </c>
      <c r="H12" s="28">
        <f>IF(G12="","",IF(G12&gt;=Q_BOA,"Boa",IF(G12&gt;=Q_ATENCAO,"Atenção","Crítica")))</f>
        <v/>
      </c>
      <c r="I12" s="1" t="n"/>
      <c r="J12" s="1" t="n"/>
      <c r="K12" s="1">
        <f>IF(B12="","",IF($C$4="Maiores notas primeiro",LARGE(Calc!$K$2:$K$301,B12),SMALL(Calc!$K$2:$K$301,B12)))</f>
        <v/>
      </c>
      <c r="L12" s="1">
        <f>IF(B12="","",MATCH(K12,Calc!$K$2:$K$301,0))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28">
        <f>IF(6&lt;=COUNT(Calc!$K$2:$K$301),6,"")</f>
        <v/>
      </c>
      <c r="C13" s="23">
        <f>IF(B13="","",INDEX(Calc!$B$2:$B$301,L13))</f>
        <v/>
      </c>
      <c r="D13" s="28">
        <f>IF(B13="","",INDEX(Calc!$E$2:$E$301,L13))</f>
        <v/>
      </c>
      <c r="E13" s="28">
        <f>IF(B13="","",INDEX(Calc!$H$2:$H$301,L13))</f>
        <v/>
      </c>
      <c r="F13" s="28">
        <f>IF(B13="","",INDEX(Calc!$G$2:$G$301,L13))</f>
        <v/>
      </c>
      <c r="G13" s="24">
        <f>IF(B13="","",INDEX(Calc!$C$2:$C$301,L13))</f>
        <v/>
      </c>
      <c r="H13" s="28">
        <f>IF(G13="","",IF(G13&gt;=Q_BOA,"Boa",IF(G13&gt;=Q_ATENCAO,"Atenção","Crítica")))</f>
        <v/>
      </c>
      <c r="I13" s="1" t="n"/>
      <c r="J13" s="1" t="n"/>
      <c r="K13" s="1">
        <f>IF(B13="","",IF($C$4="Maiores notas primeiro",LARGE(Calc!$K$2:$K$301,B13),SMALL(Calc!$K$2:$K$301,B13)))</f>
        <v/>
      </c>
      <c r="L13" s="1">
        <f>IF(B13="","",MATCH(K13,Calc!$K$2:$K$301,0))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28">
        <f>IF(7&lt;=COUNT(Calc!$K$2:$K$301),7,"")</f>
        <v/>
      </c>
      <c r="C14" s="23">
        <f>IF(B14="","",INDEX(Calc!$B$2:$B$301,L14))</f>
        <v/>
      </c>
      <c r="D14" s="28">
        <f>IF(B14="","",INDEX(Calc!$E$2:$E$301,L14))</f>
        <v/>
      </c>
      <c r="E14" s="28">
        <f>IF(B14="","",INDEX(Calc!$H$2:$H$301,L14))</f>
        <v/>
      </c>
      <c r="F14" s="28">
        <f>IF(B14="","",INDEX(Calc!$G$2:$G$301,L14))</f>
        <v/>
      </c>
      <c r="G14" s="24">
        <f>IF(B14="","",INDEX(Calc!$C$2:$C$301,L14))</f>
        <v/>
      </c>
      <c r="H14" s="28">
        <f>IF(G14="","",IF(G14&gt;=Q_BOA,"Boa",IF(G14&gt;=Q_ATENCAO,"Atenção","Crítica")))</f>
        <v/>
      </c>
      <c r="I14" s="1" t="n"/>
      <c r="J14" s="1" t="n"/>
      <c r="K14" s="1">
        <f>IF(B14="","",IF($C$4="Maiores notas primeiro",LARGE(Calc!$K$2:$K$301,B14),SMALL(Calc!$K$2:$K$301,B14)))</f>
        <v/>
      </c>
      <c r="L14" s="1">
        <f>IF(B14="","",MATCH(K14,Calc!$K$2:$K$301,0))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28">
        <f>IF(8&lt;=COUNT(Calc!$K$2:$K$301),8,"")</f>
        <v/>
      </c>
      <c r="C15" s="23">
        <f>IF(B15="","",INDEX(Calc!$B$2:$B$301,L15))</f>
        <v/>
      </c>
      <c r="D15" s="28">
        <f>IF(B15="","",INDEX(Calc!$E$2:$E$301,L15))</f>
        <v/>
      </c>
      <c r="E15" s="28">
        <f>IF(B15="","",INDEX(Calc!$H$2:$H$301,L15))</f>
        <v/>
      </c>
      <c r="F15" s="28">
        <f>IF(B15="","",INDEX(Calc!$G$2:$G$301,L15))</f>
        <v/>
      </c>
      <c r="G15" s="24">
        <f>IF(B15="","",INDEX(Calc!$C$2:$C$301,L15))</f>
        <v/>
      </c>
      <c r="H15" s="28">
        <f>IF(G15="","",IF(G15&gt;=Q_BOA,"Boa",IF(G15&gt;=Q_ATENCAO,"Atenção","Crítica")))</f>
        <v/>
      </c>
      <c r="I15" s="1" t="n"/>
      <c r="J15" s="1" t="n"/>
      <c r="K15" s="1">
        <f>IF(B15="","",IF($C$4="Maiores notas primeiro",LARGE(Calc!$K$2:$K$301,B15),SMALL(Calc!$K$2:$K$301,B15)))</f>
        <v/>
      </c>
      <c r="L15" s="1">
        <f>IF(B15="","",MATCH(K15,Calc!$K$2:$K$301,0))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28">
        <f>IF(9&lt;=COUNT(Calc!$K$2:$K$301),9,"")</f>
        <v/>
      </c>
      <c r="C16" s="23">
        <f>IF(B16="","",INDEX(Calc!$B$2:$B$301,L16))</f>
        <v/>
      </c>
      <c r="D16" s="28">
        <f>IF(B16="","",INDEX(Calc!$E$2:$E$301,L16))</f>
        <v/>
      </c>
      <c r="E16" s="28">
        <f>IF(B16="","",INDEX(Calc!$H$2:$H$301,L16))</f>
        <v/>
      </c>
      <c r="F16" s="28">
        <f>IF(B16="","",INDEX(Calc!$G$2:$G$301,L16))</f>
        <v/>
      </c>
      <c r="G16" s="24">
        <f>IF(B16="","",INDEX(Calc!$C$2:$C$301,L16))</f>
        <v/>
      </c>
      <c r="H16" s="28">
        <f>IF(G16="","",IF(G16&gt;=Q_BOA,"Boa",IF(G16&gt;=Q_ATENCAO,"Atenção","Crítica")))</f>
        <v/>
      </c>
      <c r="I16" s="1" t="n"/>
      <c r="J16" s="1" t="n"/>
      <c r="K16" s="1">
        <f>IF(B16="","",IF($C$4="Maiores notas primeiro",LARGE(Calc!$K$2:$K$301,B16),SMALL(Calc!$K$2:$K$301,B16)))</f>
        <v/>
      </c>
      <c r="L16" s="1">
        <f>IF(B16="","",MATCH(K16,Calc!$K$2:$K$301,0))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28">
        <f>IF(10&lt;=COUNT(Calc!$K$2:$K$301),10,"")</f>
        <v/>
      </c>
      <c r="C17" s="23">
        <f>IF(B17="","",INDEX(Calc!$B$2:$B$301,L17))</f>
        <v/>
      </c>
      <c r="D17" s="28">
        <f>IF(B17="","",INDEX(Calc!$E$2:$E$301,L17))</f>
        <v/>
      </c>
      <c r="E17" s="28">
        <f>IF(B17="","",INDEX(Calc!$H$2:$H$301,L17))</f>
        <v/>
      </c>
      <c r="F17" s="28">
        <f>IF(B17="","",INDEX(Calc!$G$2:$G$301,L17))</f>
        <v/>
      </c>
      <c r="G17" s="24">
        <f>IF(B17="","",INDEX(Calc!$C$2:$C$301,L17))</f>
        <v/>
      </c>
      <c r="H17" s="28">
        <f>IF(G17="","",IF(G17&gt;=Q_BOA,"Boa",IF(G17&gt;=Q_ATENCAO,"Atenção","Crítica")))</f>
        <v/>
      </c>
      <c r="I17" s="1" t="n"/>
      <c r="J17" s="1" t="n"/>
      <c r="K17" s="1">
        <f>IF(B17="","",IF($C$4="Maiores notas primeiro",LARGE(Calc!$K$2:$K$301,B17),SMALL(Calc!$K$2:$K$301,B17)))</f>
        <v/>
      </c>
      <c r="L17" s="1">
        <f>IF(B17="","",MATCH(K17,Calc!$K$2:$K$301,0))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28">
        <f>IF(11&lt;=COUNT(Calc!$K$2:$K$301),11,"")</f>
        <v/>
      </c>
      <c r="C18" s="23">
        <f>IF(B18="","",INDEX(Calc!$B$2:$B$301,L18))</f>
        <v/>
      </c>
      <c r="D18" s="28">
        <f>IF(B18="","",INDEX(Calc!$E$2:$E$301,L18))</f>
        <v/>
      </c>
      <c r="E18" s="28">
        <f>IF(B18="","",INDEX(Calc!$H$2:$H$301,L18))</f>
        <v/>
      </c>
      <c r="F18" s="28">
        <f>IF(B18="","",INDEX(Calc!$G$2:$G$301,L18))</f>
        <v/>
      </c>
      <c r="G18" s="24">
        <f>IF(B18="","",INDEX(Calc!$C$2:$C$301,L18))</f>
        <v/>
      </c>
      <c r="H18" s="28">
        <f>IF(G18="","",IF(G18&gt;=Q_BOA,"Boa",IF(G18&gt;=Q_ATENCAO,"Atenção","Crítica")))</f>
        <v/>
      </c>
      <c r="I18" s="1" t="n"/>
      <c r="J18" s="1" t="n"/>
      <c r="K18" s="1">
        <f>IF(B18="","",IF($C$4="Maiores notas primeiro",LARGE(Calc!$K$2:$K$301,B18),SMALL(Calc!$K$2:$K$301,B18)))</f>
        <v/>
      </c>
      <c r="L18" s="1">
        <f>IF(B18="","",MATCH(K18,Calc!$K$2:$K$301,0))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28">
        <f>IF(12&lt;=COUNT(Calc!$K$2:$K$301),12,"")</f>
        <v/>
      </c>
      <c r="C19" s="23">
        <f>IF(B19="","",INDEX(Calc!$B$2:$B$301,L19))</f>
        <v/>
      </c>
      <c r="D19" s="28">
        <f>IF(B19="","",INDEX(Calc!$E$2:$E$301,L19))</f>
        <v/>
      </c>
      <c r="E19" s="28">
        <f>IF(B19="","",INDEX(Calc!$H$2:$H$301,L19))</f>
        <v/>
      </c>
      <c r="F19" s="28">
        <f>IF(B19="","",INDEX(Calc!$G$2:$G$301,L19))</f>
        <v/>
      </c>
      <c r="G19" s="24">
        <f>IF(B19="","",INDEX(Calc!$C$2:$C$301,L19))</f>
        <v/>
      </c>
      <c r="H19" s="28">
        <f>IF(G19="","",IF(G19&gt;=Q_BOA,"Boa",IF(G19&gt;=Q_ATENCAO,"Atenção","Crítica")))</f>
        <v/>
      </c>
      <c r="I19" s="1" t="n"/>
      <c r="J19" s="1" t="n"/>
      <c r="K19" s="1">
        <f>IF(B19="","",IF($C$4="Maiores notas primeiro",LARGE(Calc!$K$2:$K$301,B19),SMALL(Calc!$K$2:$K$301,B19)))</f>
        <v/>
      </c>
      <c r="L19" s="1">
        <f>IF(B19="","",MATCH(K19,Calc!$K$2:$K$301,0))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28">
        <f>IF(13&lt;=COUNT(Calc!$K$2:$K$301),13,"")</f>
        <v/>
      </c>
      <c r="C20" s="23">
        <f>IF(B20="","",INDEX(Calc!$B$2:$B$301,L20))</f>
        <v/>
      </c>
      <c r="D20" s="28">
        <f>IF(B20="","",INDEX(Calc!$E$2:$E$301,L20))</f>
        <v/>
      </c>
      <c r="E20" s="28">
        <f>IF(B20="","",INDEX(Calc!$H$2:$H$301,L20))</f>
        <v/>
      </c>
      <c r="F20" s="28">
        <f>IF(B20="","",INDEX(Calc!$G$2:$G$301,L20))</f>
        <v/>
      </c>
      <c r="G20" s="24">
        <f>IF(B20="","",INDEX(Calc!$C$2:$C$301,L20))</f>
        <v/>
      </c>
      <c r="H20" s="28">
        <f>IF(G20="","",IF(G20&gt;=Q_BOA,"Boa",IF(G20&gt;=Q_ATENCAO,"Atenção","Crítica")))</f>
        <v/>
      </c>
      <c r="I20" s="1" t="n"/>
      <c r="J20" s="1" t="n"/>
      <c r="K20" s="1">
        <f>IF(B20="","",IF($C$4="Maiores notas primeiro",LARGE(Calc!$K$2:$K$301,B20),SMALL(Calc!$K$2:$K$301,B20)))</f>
        <v/>
      </c>
      <c r="L20" s="1">
        <f>IF(B20="","",MATCH(K20,Calc!$K$2:$K$301,0))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28">
        <f>IF(14&lt;=COUNT(Calc!$K$2:$K$301),14,"")</f>
        <v/>
      </c>
      <c r="C21" s="23">
        <f>IF(B21="","",INDEX(Calc!$B$2:$B$301,L21))</f>
        <v/>
      </c>
      <c r="D21" s="28">
        <f>IF(B21="","",INDEX(Calc!$E$2:$E$301,L21))</f>
        <v/>
      </c>
      <c r="E21" s="28">
        <f>IF(B21="","",INDEX(Calc!$H$2:$H$301,L21))</f>
        <v/>
      </c>
      <c r="F21" s="28">
        <f>IF(B21="","",INDEX(Calc!$G$2:$G$301,L21))</f>
        <v/>
      </c>
      <c r="G21" s="24">
        <f>IF(B21="","",INDEX(Calc!$C$2:$C$301,L21))</f>
        <v/>
      </c>
      <c r="H21" s="28">
        <f>IF(G21="","",IF(G21&gt;=Q_BOA,"Boa",IF(G21&gt;=Q_ATENCAO,"Atenção","Crítica")))</f>
        <v/>
      </c>
      <c r="I21" s="1" t="n"/>
      <c r="J21" s="1" t="n"/>
      <c r="K21" s="1">
        <f>IF(B21="","",IF($C$4="Maiores notas primeiro",LARGE(Calc!$K$2:$K$301,B21),SMALL(Calc!$K$2:$K$301,B21)))</f>
        <v/>
      </c>
      <c r="L21" s="1">
        <f>IF(B21="","",MATCH(K21,Calc!$K$2:$K$301,0))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28">
        <f>IF(15&lt;=COUNT(Calc!$K$2:$K$301),15,"")</f>
        <v/>
      </c>
      <c r="C22" s="23">
        <f>IF(B22="","",INDEX(Calc!$B$2:$B$301,L22))</f>
        <v/>
      </c>
      <c r="D22" s="28">
        <f>IF(B22="","",INDEX(Calc!$E$2:$E$301,L22))</f>
        <v/>
      </c>
      <c r="E22" s="28">
        <f>IF(B22="","",INDEX(Calc!$H$2:$H$301,L22))</f>
        <v/>
      </c>
      <c r="F22" s="28">
        <f>IF(B22="","",INDEX(Calc!$G$2:$G$301,L22))</f>
        <v/>
      </c>
      <c r="G22" s="24">
        <f>IF(B22="","",INDEX(Calc!$C$2:$C$301,L22))</f>
        <v/>
      </c>
      <c r="H22" s="28">
        <f>IF(G22="","",IF(G22&gt;=Q_BOA,"Boa",IF(G22&gt;=Q_ATENCAO,"Atenção","Crítica")))</f>
        <v/>
      </c>
      <c r="I22" s="1" t="n"/>
      <c r="J22" s="1" t="n"/>
      <c r="K22" s="1">
        <f>IF(B22="","",IF($C$4="Maiores notas primeiro",LARGE(Calc!$K$2:$K$301,B22),SMALL(Calc!$K$2:$K$301,B22)))</f>
        <v/>
      </c>
      <c r="L22" s="1">
        <f>IF(B22="","",MATCH(K22,Calc!$K$2:$K$301,0))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28">
        <f>IF(16&lt;=COUNT(Calc!$K$2:$K$301),16,"")</f>
        <v/>
      </c>
      <c r="C23" s="23">
        <f>IF(B23="","",INDEX(Calc!$B$2:$B$301,L23))</f>
        <v/>
      </c>
      <c r="D23" s="28">
        <f>IF(B23="","",INDEX(Calc!$E$2:$E$301,L23))</f>
        <v/>
      </c>
      <c r="E23" s="28">
        <f>IF(B23="","",INDEX(Calc!$H$2:$H$301,L23))</f>
        <v/>
      </c>
      <c r="F23" s="28">
        <f>IF(B23="","",INDEX(Calc!$G$2:$G$301,L23))</f>
        <v/>
      </c>
      <c r="G23" s="24">
        <f>IF(B23="","",INDEX(Calc!$C$2:$C$301,L23))</f>
        <v/>
      </c>
      <c r="H23" s="28">
        <f>IF(G23="","",IF(G23&gt;=Q_BOA,"Boa",IF(G23&gt;=Q_ATENCAO,"Atenção","Crítica")))</f>
        <v/>
      </c>
      <c r="I23" s="1" t="n"/>
      <c r="J23" s="1" t="n"/>
      <c r="K23" s="1">
        <f>IF(B23="","",IF($C$4="Maiores notas primeiro",LARGE(Calc!$K$2:$K$301,B23),SMALL(Calc!$K$2:$K$301,B23)))</f>
        <v/>
      </c>
      <c r="L23" s="1">
        <f>IF(B23="","",MATCH(K23,Calc!$K$2:$K$301,0))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28">
        <f>IF(17&lt;=COUNT(Calc!$K$2:$K$301),17,"")</f>
        <v/>
      </c>
      <c r="C24" s="23">
        <f>IF(B24="","",INDEX(Calc!$B$2:$B$301,L24))</f>
        <v/>
      </c>
      <c r="D24" s="28">
        <f>IF(B24="","",INDEX(Calc!$E$2:$E$301,L24))</f>
        <v/>
      </c>
      <c r="E24" s="28">
        <f>IF(B24="","",INDEX(Calc!$H$2:$H$301,L24))</f>
        <v/>
      </c>
      <c r="F24" s="28">
        <f>IF(B24="","",INDEX(Calc!$G$2:$G$301,L24))</f>
        <v/>
      </c>
      <c r="G24" s="24">
        <f>IF(B24="","",INDEX(Calc!$C$2:$C$301,L24))</f>
        <v/>
      </c>
      <c r="H24" s="28">
        <f>IF(G24="","",IF(G24&gt;=Q_BOA,"Boa",IF(G24&gt;=Q_ATENCAO,"Atenção","Crítica")))</f>
        <v/>
      </c>
      <c r="I24" s="1" t="n"/>
      <c r="J24" s="1" t="n"/>
      <c r="K24" s="1">
        <f>IF(B24="","",IF($C$4="Maiores notas primeiro",LARGE(Calc!$K$2:$K$301,B24),SMALL(Calc!$K$2:$K$301,B24)))</f>
        <v/>
      </c>
      <c r="L24" s="1">
        <f>IF(B24="","",MATCH(K24,Calc!$K$2:$K$301,0))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28">
        <f>IF(18&lt;=COUNT(Calc!$K$2:$K$301),18,"")</f>
        <v/>
      </c>
      <c r="C25" s="23">
        <f>IF(B25="","",INDEX(Calc!$B$2:$B$301,L25))</f>
        <v/>
      </c>
      <c r="D25" s="28">
        <f>IF(B25="","",INDEX(Calc!$E$2:$E$301,L25))</f>
        <v/>
      </c>
      <c r="E25" s="28">
        <f>IF(B25="","",INDEX(Calc!$H$2:$H$301,L25))</f>
        <v/>
      </c>
      <c r="F25" s="28">
        <f>IF(B25="","",INDEX(Calc!$G$2:$G$301,L25))</f>
        <v/>
      </c>
      <c r="G25" s="24">
        <f>IF(B25="","",INDEX(Calc!$C$2:$C$301,L25))</f>
        <v/>
      </c>
      <c r="H25" s="28">
        <f>IF(G25="","",IF(G25&gt;=Q_BOA,"Boa",IF(G25&gt;=Q_ATENCAO,"Atenção","Crítica")))</f>
        <v/>
      </c>
      <c r="I25" s="1" t="n"/>
      <c r="J25" s="1" t="n"/>
      <c r="K25" s="1">
        <f>IF(B25="","",IF($C$4="Maiores notas primeiro",LARGE(Calc!$K$2:$K$301,B25),SMALL(Calc!$K$2:$K$301,B25)))</f>
        <v/>
      </c>
      <c r="L25" s="1">
        <f>IF(B25="","",MATCH(K25,Calc!$K$2:$K$301,0))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28">
        <f>IF(19&lt;=COUNT(Calc!$K$2:$K$301),19,"")</f>
        <v/>
      </c>
      <c r="C26" s="23">
        <f>IF(B26="","",INDEX(Calc!$B$2:$B$301,L26))</f>
        <v/>
      </c>
      <c r="D26" s="28">
        <f>IF(B26="","",INDEX(Calc!$E$2:$E$301,L26))</f>
        <v/>
      </c>
      <c r="E26" s="28">
        <f>IF(B26="","",INDEX(Calc!$H$2:$H$301,L26))</f>
        <v/>
      </c>
      <c r="F26" s="28">
        <f>IF(B26="","",INDEX(Calc!$G$2:$G$301,L26))</f>
        <v/>
      </c>
      <c r="G26" s="24">
        <f>IF(B26="","",INDEX(Calc!$C$2:$C$301,L26))</f>
        <v/>
      </c>
      <c r="H26" s="28">
        <f>IF(G26="","",IF(G26&gt;=Q_BOA,"Boa",IF(G26&gt;=Q_ATENCAO,"Atenção","Crítica")))</f>
        <v/>
      </c>
      <c r="I26" s="1" t="n"/>
      <c r="J26" s="1" t="n"/>
      <c r="K26" s="1">
        <f>IF(B26="","",IF($C$4="Maiores notas primeiro",LARGE(Calc!$K$2:$K$301,B26),SMALL(Calc!$K$2:$K$301,B26)))</f>
        <v/>
      </c>
      <c r="L26" s="1">
        <f>IF(B26="","",MATCH(K26,Calc!$K$2:$K$301,0))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28">
        <f>IF(20&lt;=COUNT(Calc!$K$2:$K$301),20,"")</f>
        <v/>
      </c>
      <c r="C27" s="23">
        <f>IF(B27="","",INDEX(Calc!$B$2:$B$301,L27))</f>
        <v/>
      </c>
      <c r="D27" s="28">
        <f>IF(B27="","",INDEX(Calc!$E$2:$E$301,L27))</f>
        <v/>
      </c>
      <c r="E27" s="28">
        <f>IF(B27="","",INDEX(Calc!$H$2:$H$301,L27))</f>
        <v/>
      </c>
      <c r="F27" s="28">
        <f>IF(B27="","",INDEX(Calc!$G$2:$G$301,L27))</f>
        <v/>
      </c>
      <c r="G27" s="24">
        <f>IF(B27="","",INDEX(Calc!$C$2:$C$301,L27))</f>
        <v/>
      </c>
      <c r="H27" s="28">
        <f>IF(G27="","",IF(G27&gt;=Q_BOA,"Boa",IF(G27&gt;=Q_ATENCAO,"Atenção","Crítica")))</f>
        <v/>
      </c>
      <c r="I27" s="1" t="n"/>
      <c r="J27" s="1" t="n"/>
      <c r="K27" s="1">
        <f>IF(B27="","",IF($C$4="Maiores notas primeiro",LARGE(Calc!$K$2:$K$301,B27),SMALL(Calc!$K$2:$K$301,B27)))</f>
        <v/>
      </c>
      <c r="L27" s="1">
        <f>IF(B27="","",MATCH(K27,Calc!$K$2:$K$301,0))</f>
        <v/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28">
        <f>IF(21&lt;=COUNT(Calc!$K$2:$K$301),21,"")</f>
        <v/>
      </c>
      <c r="C28" s="23">
        <f>IF(B28="","",INDEX(Calc!$B$2:$B$301,L28))</f>
        <v/>
      </c>
      <c r="D28" s="28">
        <f>IF(B28="","",INDEX(Calc!$E$2:$E$301,L28))</f>
        <v/>
      </c>
      <c r="E28" s="28">
        <f>IF(B28="","",INDEX(Calc!$H$2:$H$301,L28))</f>
        <v/>
      </c>
      <c r="F28" s="28">
        <f>IF(B28="","",INDEX(Calc!$G$2:$G$301,L28))</f>
        <v/>
      </c>
      <c r="G28" s="24">
        <f>IF(B28="","",INDEX(Calc!$C$2:$C$301,L28))</f>
        <v/>
      </c>
      <c r="H28" s="28">
        <f>IF(G28="","",IF(G28&gt;=Q_BOA,"Boa",IF(G28&gt;=Q_ATENCAO,"Atenção","Crítica")))</f>
        <v/>
      </c>
      <c r="I28" s="1" t="n"/>
      <c r="J28" s="1" t="n"/>
      <c r="K28" s="1">
        <f>IF(B28="","",IF($C$4="Maiores notas primeiro",LARGE(Calc!$K$2:$K$301,B28),SMALL(Calc!$K$2:$K$301,B28)))</f>
        <v/>
      </c>
      <c r="L28" s="1">
        <f>IF(B28="","",MATCH(K28,Calc!$K$2:$K$301,0))</f>
        <v/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28">
        <f>IF(22&lt;=COUNT(Calc!$K$2:$K$301),22,"")</f>
        <v/>
      </c>
      <c r="C29" s="23">
        <f>IF(B29="","",INDEX(Calc!$B$2:$B$301,L29))</f>
        <v/>
      </c>
      <c r="D29" s="28">
        <f>IF(B29="","",INDEX(Calc!$E$2:$E$301,L29))</f>
        <v/>
      </c>
      <c r="E29" s="28">
        <f>IF(B29="","",INDEX(Calc!$H$2:$H$301,L29))</f>
        <v/>
      </c>
      <c r="F29" s="28">
        <f>IF(B29="","",INDEX(Calc!$G$2:$G$301,L29))</f>
        <v/>
      </c>
      <c r="G29" s="24">
        <f>IF(B29="","",INDEX(Calc!$C$2:$C$301,L29))</f>
        <v/>
      </c>
      <c r="H29" s="28">
        <f>IF(G29="","",IF(G29&gt;=Q_BOA,"Boa",IF(G29&gt;=Q_ATENCAO,"Atenção","Crítica")))</f>
        <v/>
      </c>
      <c r="I29" s="1" t="n"/>
      <c r="J29" s="1" t="n"/>
      <c r="K29" s="1">
        <f>IF(B29="","",IF($C$4="Maiores notas primeiro",LARGE(Calc!$K$2:$K$301,B29),SMALL(Calc!$K$2:$K$301,B29)))</f>
        <v/>
      </c>
      <c r="L29" s="1">
        <f>IF(B29="","",MATCH(K29,Calc!$K$2:$K$301,0))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28">
        <f>IF(23&lt;=COUNT(Calc!$K$2:$K$301),23,"")</f>
        <v/>
      </c>
      <c r="C30" s="23">
        <f>IF(B30="","",INDEX(Calc!$B$2:$B$301,L30))</f>
        <v/>
      </c>
      <c r="D30" s="28">
        <f>IF(B30="","",INDEX(Calc!$E$2:$E$301,L30))</f>
        <v/>
      </c>
      <c r="E30" s="28">
        <f>IF(B30="","",INDEX(Calc!$H$2:$H$301,L30))</f>
        <v/>
      </c>
      <c r="F30" s="28">
        <f>IF(B30="","",INDEX(Calc!$G$2:$G$301,L30))</f>
        <v/>
      </c>
      <c r="G30" s="24">
        <f>IF(B30="","",INDEX(Calc!$C$2:$C$301,L30))</f>
        <v/>
      </c>
      <c r="H30" s="28">
        <f>IF(G30="","",IF(G30&gt;=Q_BOA,"Boa",IF(G30&gt;=Q_ATENCAO,"Atenção","Crítica")))</f>
        <v/>
      </c>
      <c r="I30" s="1" t="n"/>
      <c r="J30" s="1" t="n"/>
      <c r="K30" s="1">
        <f>IF(B30="","",IF($C$4="Maiores notas primeiro",LARGE(Calc!$K$2:$K$301,B30),SMALL(Calc!$K$2:$K$301,B30)))</f>
        <v/>
      </c>
      <c r="L30" s="1">
        <f>IF(B30="","",MATCH(K30,Calc!$K$2:$K$301,0))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28">
        <f>IF(24&lt;=COUNT(Calc!$K$2:$K$301),24,"")</f>
        <v/>
      </c>
      <c r="C31" s="23">
        <f>IF(B31="","",INDEX(Calc!$B$2:$B$301,L31))</f>
        <v/>
      </c>
      <c r="D31" s="28">
        <f>IF(B31="","",INDEX(Calc!$E$2:$E$301,L31))</f>
        <v/>
      </c>
      <c r="E31" s="28">
        <f>IF(B31="","",INDEX(Calc!$H$2:$H$301,L31))</f>
        <v/>
      </c>
      <c r="F31" s="28">
        <f>IF(B31="","",INDEX(Calc!$G$2:$G$301,L31))</f>
        <v/>
      </c>
      <c r="G31" s="24">
        <f>IF(B31="","",INDEX(Calc!$C$2:$C$301,L31))</f>
        <v/>
      </c>
      <c r="H31" s="28">
        <f>IF(G31="","",IF(G31&gt;=Q_BOA,"Boa",IF(G31&gt;=Q_ATENCAO,"Atenção","Crítica")))</f>
        <v/>
      </c>
      <c r="I31" s="1" t="n"/>
      <c r="J31" s="1" t="n"/>
      <c r="K31" s="1">
        <f>IF(B31="","",IF($C$4="Maiores notas primeiro",LARGE(Calc!$K$2:$K$301,B31),SMALL(Calc!$K$2:$K$301,B31)))</f>
        <v/>
      </c>
      <c r="L31" s="1">
        <f>IF(B31="","",MATCH(K31,Calc!$K$2:$K$301,0))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28">
        <f>IF(25&lt;=COUNT(Calc!$K$2:$K$301),25,"")</f>
        <v/>
      </c>
      <c r="C32" s="23">
        <f>IF(B32="","",INDEX(Calc!$B$2:$B$301,L32))</f>
        <v/>
      </c>
      <c r="D32" s="28">
        <f>IF(B32="","",INDEX(Calc!$E$2:$E$301,L32))</f>
        <v/>
      </c>
      <c r="E32" s="28">
        <f>IF(B32="","",INDEX(Calc!$H$2:$H$301,L32))</f>
        <v/>
      </c>
      <c r="F32" s="28">
        <f>IF(B32="","",INDEX(Calc!$G$2:$G$301,L32))</f>
        <v/>
      </c>
      <c r="G32" s="24">
        <f>IF(B32="","",INDEX(Calc!$C$2:$C$301,L32))</f>
        <v/>
      </c>
      <c r="H32" s="28">
        <f>IF(G32="","",IF(G32&gt;=Q_BOA,"Boa",IF(G32&gt;=Q_ATENCAO,"Atenção","Crítica")))</f>
        <v/>
      </c>
      <c r="I32" s="1" t="n"/>
      <c r="J32" s="1" t="n"/>
      <c r="K32" s="1">
        <f>IF(B32="","",IF($C$4="Maiores notas primeiro",LARGE(Calc!$K$2:$K$301,B32),SMALL(Calc!$K$2:$K$301,B32)))</f>
        <v/>
      </c>
      <c r="L32" s="1">
        <f>IF(B32="","",MATCH(K32,Calc!$K$2:$K$301,0))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28">
        <f>IF(26&lt;=COUNT(Calc!$K$2:$K$301),26,"")</f>
        <v/>
      </c>
      <c r="C33" s="23">
        <f>IF(B33="","",INDEX(Calc!$B$2:$B$301,L33))</f>
        <v/>
      </c>
      <c r="D33" s="28">
        <f>IF(B33="","",INDEX(Calc!$E$2:$E$301,L33))</f>
        <v/>
      </c>
      <c r="E33" s="28">
        <f>IF(B33="","",INDEX(Calc!$H$2:$H$301,L33))</f>
        <v/>
      </c>
      <c r="F33" s="28">
        <f>IF(B33="","",INDEX(Calc!$G$2:$G$301,L33))</f>
        <v/>
      </c>
      <c r="G33" s="24">
        <f>IF(B33="","",INDEX(Calc!$C$2:$C$301,L33))</f>
        <v/>
      </c>
      <c r="H33" s="28">
        <f>IF(G33="","",IF(G33&gt;=Q_BOA,"Boa",IF(G33&gt;=Q_ATENCAO,"Atenção","Crítica")))</f>
        <v/>
      </c>
      <c r="I33" s="1" t="n"/>
      <c r="J33" s="1" t="n"/>
      <c r="K33" s="1">
        <f>IF(B33="","",IF($C$4="Maiores notas primeiro",LARGE(Calc!$K$2:$K$301,B33),SMALL(Calc!$K$2:$K$301,B33)))</f>
        <v/>
      </c>
      <c r="L33" s="1">
        <f>IF(B33="","",MATCH(K33,Calc!$K$2:$K$301,0))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28">
        <f>IF(27&lt;=COUNT(Calc!$K$2:$K$301),27,"")</f>
        <v/>
      </c>
      <c r="C34" s="23">
        <f>IF(B34="","",INDEX(Calc!$B$2:$B$301,L34))</f>
        <v/>
      </c>
      <c r="D34" s="28">
        <f>IF(B34="","",INDEX(Calc!$E$2:$E$301,L34))</f>
        <v/>
      </c>
      <c r="E34" s="28">
        <f>IF(B34="","",INDEX(Calc!$H$2:$H$301,L34))</f>
        <v/>
      </c>
      <c r="F34" s="28">
        <f>IF(B34="","",INDEX(Calc!$G$2:$G$301,L34))</f>
        <v/>
      </c>
      <c r="G34" s="24">
        <f>IF(B34="","",INDEX(Calc!$C$2:$C$301,L34))</f>
        <v/>
      </c>
      <c r="H34" s="28">
        <f>IF(G34="","",IF(G34&gt;=Q_BOA,"Boa",IF(G34&gt;=Q_ATENCAO,"Atenção","Crítica")))</f>
        <v/>
      </c>
      <c r="I34" s="1" t="n"/>
      <c r="J34" s="1" t="n"/>
      <c r="K34" s="1">
        <f>IF(B34="","",IF($C$4="Maiores notas primeiro",LARGE(Calc!$K$2:$K$301,B34),SMALL(Calc!$K$2:$K$301,B34)))</f>
        <v/>
      </c>
      <c r="L34" s="1">
        <f>IF(B34="","",MATCH(K34,Calc!$K$2:$K$301,0))</f>
        <v/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28">
        <f>IF(28&lt;=COUNT(Calc!$K$2:$K$301),28,"")</f>
        <v/>
      </c>
      <c r="C35" s="23">
        <f>IF(B35="","",INDEX(Calc!$B$2:$B$301,L35))</f>
        <v/>
      </c>
      <c r="D35" s="28">
        <f>IF(B35="","",INDEX(Calc!$E$2:$E$301,L35))</f>
        <v/>
      </c>
      <c r="E35" s="28">
        <f>IF(B35="","",INDEX(Calc!$H$2:$H$301,L35))</f>
        <v/>
      </c>
      <c r="F35" s="28">
        <f>IF(B35="","",INDEX(Calc!$G$2:$G$301,L35))</f>
        <v/>
      </c>
      <c r="G35" s="24">
        <f>IF(B35="","",INDEX(Calc!$C$2:$C$301,L35))</f>
        <v/>
      </c>
      <c r="H35" s="28">
        <f>IF(G35="","",IF(G35&gt;=Q_BOA,"Boa",IF(G35&gt;=Q_ATENCAO,"Atenção","Crítica")))</f>
        <v/>
      </c>
      <c r="I35" s="1" t="n"/>
      <c r="J35" s="1" t="n"/>
      <c r="K35" s="1">
        <f>IF(B35="","",IF($C$4="Maiores notas primeiro",LARGE(Calc!$K$2:$K$301,B35),SMALL(Calc!$K$2:$K$301,B35)))</f>
        <v/>
      </c>
      <c r="L35" s="1">
        <f>IF(B35="","",MATCH(K35,Calc!$K$2:$K$301,0))</f>
        <v/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28">
        <f>IF(29&lt;=COUNT(Calc!$K$2:$K$301),29,"")</f>
        <v/>
      </c>
      <c r="C36" s="23">
        <f>IF(B36="","",INDEX(Calc!$B$2:$B$301,L36))</f>
        <v/>
      </c>
      <c r="D36" s="28">
        <f>IF(B36="","",INDEX(Calc!$E$2:$E$301,L36))</f>
        <v/>
      </c>
      <c r="E36" s="28">
        <f>IF(B36="","",INDEX(Calc!$H$2:$H$301,L36))</f>
        <v/>
      </c>
      <c r="F36" s="28">
        <f>IF(B36="","",INDEX(Calc!$G$2:$G$301,L36))</f>
        <v/>
      </c>
      <c r="G36" s="24">
        <f>IF(B36="","",INDEX(Calc!$C$2:$C$301,L36))</f>
        <v/>
      </c>
      <c r="H36" s="28">
        <f>IF(G36="","",IF(G36&gt;=Q_BOA,"Boa",IF(G36&gt;=Q_ATENCAO,"Atenção","Crítica")))</f>
        <v/>
      </c>
      <c r="I36" s="1" t="n"/>
      <c r="J36" s="1" t="n"/>
      <c r="K36" s="1">
        <f>IF(B36="","",IF($C$4="Maiores notas primeiro",LARGE(Calc!$K$2:$K$301,B36),SMALL(Calc!$K$2:$K$301,B36)))</f>
        <v/>
      </c>
      <c r="L36" s="1">
        <f>IF(B36="","",MATCH(K36,Calc!$K$2:$K$301,0))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28">
        <f>IF(30&lt;=COUNT(Calc!$K$2:$K$301),30,"")</f>
        <v/>
      </c>
      <c r="C37" s="23">
        <f>IF(B37="","",INDEX(Calc!$B$2:$B$301,L37))</f>
        <v/>
      </c>
      <c r="D37" s="28">
        <f>IF(B37="","",INDEX(Calc!$E$2:$E$301,L37))</f>
        <v/>
      </c>
      <c r="E37" s="28">
        <f>IF(B37="","",INDEX(Calc!$H$2:$H$301,L37))</f>
        <v/>
      </c>
      <c r="F37" s="28">
        <f>IF(B37="","",INDEX(Calc!$G$2:$G$301,L37))</f>
        <v/>
      </c>
      <c r="G37" s="24">
        <f>IF(B37="","",INDEX(Calc!$C$2:$C$301,L37))</f>
        <v/>
      </c>
      <c r="H37" s="28">
        <f>IF(G37="","",IF(G37&gt;=Q_BOA,"Boa",IF(G37&gt;=Q_ATENCAO,"Atenção","Crítica")))</f>
        <v/>
      </c>
      <c r="I37" s="1" t="n"/>
      <c r="J37" s="1" t="n"/>
      <c r="K37" s="1">
        <f>IF(B37="","",IF($C$4="Maiores notas primeiro",LARGE(Calc!$K$2:$K$301,B37),SMALL(Calc!$K$2:$K$301,B37)))</f>
        <v/>
      </c>
      <c r="L37" s="1">
        <f>IF(B37="","",MATCH(K37,Calc!$K$2:$K$301,0))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28">
        <f>IF(31&lt;=COUNT(Calc!$K$2:$K$301),31,"")</f>
        <v/>
      </c>
      <c r="C38" s="23">
        <f>IF(B38="","",INDEX(Calc!$B$2:$B$301,L38))</f>
        <v/>
      </c>
      <c r="D38" s="28">
        <f>IF(B38="","",INDEX(Calc!$E$2:$E$301,L38))</f>
        <v/>
      </c>
      <c r="E38" s="28">
        <f>IF(B38="","",INDEX(Calc!$H$2:$H$301,L38))</f>
        <v/>
      </c>
      <c r="F38" s="28">
        <f>IF(B38="","",INDEX(Calc!$G$2:$G$301,L38))</f>
        <v/>
      </c>
      <c r="G38" s="24">
        <f>IF(B38="","",INDEX(Calc!$C$2:$C$301,L38))</f>
        <v/>
      </c>
      <c r="H38" s="28">
        <f>IF(G38="","",IF(G38&gt;=Q_BOA,"Boa",IF(G38&gt;=Q_ATENCAO,"Atenção","Crítica")))</f>
        <v/>
      </c>
      <c r="I38" s="1" t="n"/>
      <c r="J38" s="1" t="n"/>
      <c r="K38" s="1">
        <f>IF(B38="","",IF($C$4="Maiores notas primeiro",LARGE(Calc!$K$2:$K$301,B38),SMALL(Calc!$K$2:$K$301,B38)))</f>
        <v/>
      </c>
      <c r="L38" s="1">
        <f>IF(B38="","",MATCH(K38,Calc!$K$2:$K$301,0))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28">
        <f>IF(32&lt;=COUNT(Calc!$K$2:$K$301),32,"")</f>
        <v/>
      </c>
      <c r="C39" s="23">
        <f>IF(B39="","",INDEX(Calc!$B$2:$B$301,L39))</f>
        <v/>
      </c>
      <c r="D39" s="28">
        <f>IF(B39="","",INDEX(Calc!$E$2:$E$301,L39))</f>
        <v/>
      </c>
      <c r="E39" s="28">
        <f>IF(B39="","",INDEX(Calc!$H$2:$H$301,L39))</f>
        <v/>
      </c>
      <c r="F39" s="28">
        <f>IF(B39="","",INDEX(Calc!$G$2:$G$301,L39))</f>
        <v/>
      </c>
      <c r="G39" s="24">
        <f>IF(B39="","",INDEX(Calc!$C$2:$C$301,L39))</f>
        <v/>
      </c>
      <c r="H39" s="28">
        <f>IF(G39="","",IF(G39&gt;=Q_BOA,"Boa",IF(G39&gt;=Q_ATENCAO,"Atenção","Crítica")))</f>
        <v/>
      </c>
      <c r="I39" s="1" t="n"/>
      <c r="J39" s="1" t="n"/>
      <c r="K39" s="1">
        <f>IF(B39="","",IF($C$4="Maiores notas primeiro",LARGE(Calc!$K$2:$K$301,B39),SMALL(Calc!$K$2:$K$301,B39)))</f>
        <v/>
      </c>
      <c r="L39" s="1">
        <f>IF(B39="","",MATCH(K39,Calc!$K$2:$K$301,0))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28">
        <f>IF(33&lt;=COUNT(Calc!$K$2:$K$301),33,"")</f>
        <v/>
      </c>
      <c r="C40" s="23">
        <f>IF(B40="","",INDEX(Calc!$B$2:$B$301,L40))</f>
        <v/>
      </c>
      <c r="D40" s="28">
        <f>IF(B40="","",INDEX(Calc!$E$2:$E$301,L40))</f>
        <v/>
      </c>
      <c r="E40" s="28">
        <f>IF(B40="","",INDEX(Calc!$H$2:$H$301,L40))</f>
        <v/>
      </c>
      <c r="F40" s="28">
        <f>IF(B40="","",INDEX(Calc!$G$2:$G$301,L40))</f>
        <v/>
      </c>
      <c r="G40" s="24">
        <f>IF(B40="","",INDEX(Calc!$C$2:$C$301,L40))</f>
        <v/>
      </c>
      <c r="H40" s="28">
        <f>IF(G40="","",IF(G40&gt;=Q_BOA,"Boa",IF(G40&gt;=Q_ATENCAO,"Atenção","Crítica")))</f>
        <v/>
      </c>
      <c r="I40" s="1" t="n"/>
      <c r="J40" s="1" t="n"/>
      <c r="K40" s="1">
        <f>IF(B40="","",IF($C$4="Maiores notas primeiro",LARGE(Calc!$K$2:$K$301,B40),SMALL(Calc!$K$2:$K$301,B40)))</f>
        <v/>
      </c>
      <c r="L40" s="1">
        <f>IF(B40="","",MATCH(K40,Calc!$K$2:$K$301,0))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28">
        <f>IF(34&lt;=COUNT(Calc!$K$2:$K$301),34,"")</f>
        <v/>
      </c>
      <c r="C41" s="23">
        <f>IF(B41="","",INDEX(Calc!$B$2:$B$301,L41))</f>
        <v/>
      </c>
      <c r="D41" s="28">
        <f>IF(B41="","",INDEX(Calc!$E$2:$E$301,L41))</f>
        <v/>
      </c>
      <c r="E41" s="28">
        <f>IF(B41="","",INDEX(Calc!$H$2:$H$301,L41))</f>
        <v/>
      </c>
      <c r="F41" s="28">
        <f>IF(B41="","",INDEX(Calc!$G$2:$G$301,L41))</f>
        <v/>
      </c>
      <c r="G41" s="24">
        <f>IF(B41="","",INDEX(Calc!$C$2:$C$301,L41))</f>
        <v/>
      </c>
      <c r="H41" s="28">
        <f>IF(G41="","",IF(G41&gt;=Q_BOA,"Boa",IF(G41&gt;=Q_ATENCAO,"Atenção","Crítica")))</f>
        <v/>
      </c>
      <c r="I41" s="1" t="n"/>
      <c r="J41" s="1" t="n"/>
      <c r="K41" s="1">
        <f>IF(B41="","",IF($C$4="Maiores notas primeiro",LARGE(Calc!$K$2:$K$301,B41),SMALL(Calc!$K$2:$K$301,B41)))</f>
        <v/>
      </c>
      <c r="L41" s="1">
        <f>IF(B41="","",MATCH(K41,Calc!$K$2:$K$301,0))</f>
        <v/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28">
        <f>IF(35&lt;=COUNT(Calc!$K$2:$K$301),35,"")</f>
        <v/>
      </c>
      <c r="C42" s="23">
        <f>IF(B42="","",INDEX(Calc!$B$2:$B$301,L42))</f>
        <v/>
      </c>
      <c r="D42" s="28">
        <f>IF(B42="","",INDEX(Calc!$E$2:$E$301,L42))</f>
        <v/>
      </c>
      <c r="E42" s="28">
        <f>IF(B42="","",INDEX(Calc!$H$2:$H$301,L42))</f>
        <v/>
      </c>
      <c r="F42" s="28">
        <f>IF(B42="","",INDEX(Calc!$G$2:$G$301,L42))</f>
        <v/>
      </c>
      <c r="G42" s="24">
        <f>IF(B42="","",INDEX(Calc!$C$2:$C$301,L42))</f>
        <v/>
      </c>
      <c r="H42" s="28">
        <f>IF(G42="","",IF(G42&gt;=Q_BOA,"Boa",IF(G42&gt;=Q_ATENCAO,"Atenção","Crítica")))</f>
        <v/>
      </c>
      <c r="I42" s="1" t="n"/>
      <c r="J42" s="1" t="n"/>
      <c r="K42" s="1">
        <f>IF(B42="","",IF($C$4="Maiores notas primeiro",LARGE(Calc!$K$2:$K$301,B42),SMALL(Calc!$K$2:$K$301,B42)))</f>
        <v/>
      </c>
      <c r="L42" s="1">
        <f>IF(B42="","",MATCH(K42,Calc!$K$2:$K$301,0))</f>
        <v/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28">
        <f>IF(36&lt;=COUNT(Calc!$K$2:$K$301),36,"")</f>
        <v/>
      </c>
      <c r="C43" s="23">
        <f>IF(B43="","",INDEX(Calc!$B$2:$B$301,L43))</f>
        <v/>
      </c>
      <c r="D43" s="28">
        <f>IF(B43="","",INDEX(Calc!$E$2:$E$301,L43))</f>
        <v/>
      </c>
      <c r="E43" s="28">
        <f>IF(B43="","",INDEX(Calc!$H$2:$H$301,L43))</f>
        <v/>
      </c>
      <c r="F43" s="28">
        <f>IF(B43="","",INDEX(Calc!$G$2:$G$301,L43))</f>
        <v/>
      </c>
      <c r="G43" s="24">
        <f>IF(B43="","",INDEX(Calc!$C$2:$C$301,L43))</f>
        <v/>
      </c>
      <c r="H43" s="28">
        <f>IF(G43="","",IF(G43&gt;=Q_BOA,"Boa",IF(G43&gt;=Q_ATENCAO,"Atenção","Crítica")))</f>
        <v/>
      </c>
      <c r="I43" s="1" t="n"/>
      <c r="J43" s="1" t="n"/>
      <c r="K43" s="1">
        <f>IF(B43="","",IF($C$4="Maiores notas primeiro",LARGE(Calc!$K$2:$K$301,B43),SMALL(Calc!$K$2:$K$301,B43)))</f>
        <v/>
      </c>
      <c r="L43" s="1">
        <f>IF(B43="","",MATCH(K43,Calc!$K$2:$K$301,0))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28">
        <f>IF(37&lt;=COUNT(Calc!$K$2:$K$301),37,"")</f>
        <v/>
      </c>
      <c r="C44" s="23">
        <f>IF(B44="","",INDEX(Calc!$B$2:$B$301,L44))</f>
        <v/>
      </c>
      <c r="D44" s="28">
        <f>IF(B44="","",INDEX(Calc!$E$2:$E$301,L44))</f>
        <v/>
      </c>
      <c r="E44" s="28">
        <f>IF(B44="","",INDEX(Calc!$H$2:$H$301,L44))</f>
        <v/>
      </c>
      <c r="F44" s="28">
        <f>IF(B44="","",INDEX(Calc!$G$2:$G$301,L44))</f>
        <v/>
      </c>
      <c r="G44" s="24">
        <f>IF(B44="","",INDEX(Calc!$C$2:$C$301,L44))</f>
        <v/>
      </c>
      <c r="H44" s="28">
        <f>IF(G44="","",IF(G44&gt;=Q_BOA,"Boa",IF(G44&gt;=Q_ATENCAO,"Atenção","Crítica")))</f>
        <v/>
      </c>
      <c r="I44" s="1" t="n"/>
      <c r="J44" s="1" t="n"/>
      <c r="K44" s="1">
        <f>IF(B44="","",IF($C$4="Maiores notas primeiro",LARGE(Calc!$K$2:$K$301,B44),SMALL(Calc!$K$2:$K$301,B44)))</f>
        <v/>
      </c>
      <c r="L44" s="1">
        <f>IF(B44="","",MATCH(K44,Calc!$K$2:$K$301,0))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28">
        <f>IF(38&lt;=COUNT(Calc!$K$2:$K$301),38,"")</f>
        <v/>
      </c>
      <c r="C45" s="23">
        <f>IF(B45="","",INDEX(Calc!$B$2:$B$301,L45))</f>
        <v/>
      </c>
      <c r="D45" s="28">
        <f>IF(B45="","",INDEX(Calc!$E$2:$E$301,L45))</f>
        <v/>
      </c>
      <c r="E45" s="28">
        <f>IF(B45="","",INDEX(Calc!$H$2:$H$301,L45))</f>
        <v/>
      </c>
      <c r="F45" s="28">
        <f>IF(B45="","",INDEX(Calc!$G$2:$G$301,L45))</f>
        <v/>
      </c>
      <c r="G45" s="24">
        <f>IF(B45="","",INDEX(Calc!$C$2:$C$301,L45))</f>
        <v/>
      </c>
      <c r="H45" s="28">
        <f>IF(G45="","",IF(G45&gt;=Q_BOA,"Boa",IF(G45&gt;=Q_ATENCAO,"Atenção","Crítica")))</f>
        <v/>
      </c>
      <c r="I45" s="1" t="n"/>
      <c r="J45" s="1" t="n"/>
      <c r="K45" s="1">
        <f>IF(B45="","",IF($C$4="Maiores notas primeiro",LARGE(Calc!$K$2:$K$301,B45),SMALL(Calc!$K$2:$K$301,B45)))</f>
        <v/>
      </c>
      <c r="L45" s="1">
        <f>IF(B45="","",MATCH(K45,Calc!$K$2:$K$301,0))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28">
        <f>IF(39&lt;=COUNT(Calc!$K$2:$K$301),39,"")</f>
        <v/>
      </c>
      <c r="C46" s="23">
        <f>IF(B46="","",INDEX(Calc!$B$2:$B$301,L46))</f>
        <v/>
      </c>
      <c r="D46" s="28">
        <f>IF(B46="","",INDEX(Calc!$E$2:$E$301,L46))</f>
        <v/>
      </c>
      <c r="E46" s="28">
        <f>IF(B46="","",INDEX(Calc!$H$2:$H$301,L46))</f>
        <v/>
      </c>
      <c r="F46" s="28">
        <f>IF(B46="","",INDEX(Calc!$G$2:$G$301,L46))</f>
        <v/>
      </c>
      <c r="G46" s="24">
        <f>IF(B46="","",INDEX(Calc!$C$2:$C$301,L46))</f>
        <v/>
      </c>
      <c r="H46" s="28">
        <f>IF(G46="","",IF(G46&gt;=Q_BOA,"Boa",IF(G46&gt;=Q_ATENCAO,"Atenção","Crítica")))</f>
        <v/>
      </c>
      <c r="I46" s="1" t="n"/>
      <c r="J46" s="1" t="n"/>
      <c r="K46" s="1">
        <f>IF(B46="","",IF($C$4="Maiores notas primeiro",LARGE(Calc!$K$2:$K$301,B46),SMALL(Calc!$K$2:$K$301,B46)))</f>
        <v/>
      </c>
      <c r="L46" s="1">
        <f>IF(B46="","",MATCH(K46,Calc!$K$2:$K$301,0))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28">
        <f>IF(40&lt;=COUNT(Calc!$K$2:$K$301),40,"")</f>
        <v/>
      </c>
      <c r="C47" s="23">
        <f>IF(B47="","",INDEX(Calc!$B$2:$B$301,L47))</f>
        <v/>
      </c>
      <c r="D47" s="28">
        <f>IF(B47="","",INDEX(Calc!$E$2:$E$301,L47))</f>
        <v/>
      </c>
      <c r="E47" s="28">
        <f>IF(B47="","",INDEX(Calc!$H$2:$H$301,L47))</f>
        <v/>
      </c>
      <c r="F47" s="28">
        <f>IF(B47="","",INDEX(Calc!$G$2:$G$301,L47))</f>
        <v/>
      </c>
      <c r="G47" s="24">
        <f>IF(B47="","",INDEX(Calc!$C$2:$C$301,L47))</f>
        <v/>
      </c>
      <c r="H47" s="28">
        <f>IF(G47="","",IF(G47&gt;=Q_BOA,"Boa",IF(G47&gt;=Q_ATENCAO,"Atenção","Crítica")))</f>
        <v/>
      </c>
      <c r="I47" s="1" t="n"/>
      <c r="J47" s="1" t="n"/>
      <c r="K47" s="1">
        <f>IF(B47="","",IF($C$4="Maiores notas primeiro",LARGE(Calc!$K$2:$K$301,B47),SMALL(Calc!$K$2:$K$301,B47)))</f>
        <v/>
      </c>
      <c r="L47" s="1">
        <f>IF(B47="","",MATCH(K47,Calc!$K$2:$K$301,0))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 s="1" t="n"/>
      <c r="B48" s="28">
        <f>IF(41&lt;=COUNT(Calc!$K$2:$K$301),41,"")</f>
        <v/>
      </c>
      <c r="C48" s="23">
        <f>IF(B48="","",INDEX(Calc!$B$2:$B$301,L48))</f>
        <v/>
      </c>
      <c r="D48" s="28">
        <f>IF(B48="","",INDEX(Calc!$E$2:$E$301,L48))</f>
        <v/>
      </c>
      <c r="E48" s="28">
        <f>IF(B48="","",INDEX(Calc!$H$2:$H$301,L48))</f>
        <v/>
      </c>
      <c r="F48" s="28">
        <f>IF(B48="","",INDEX(Calc!$G$2:$G$301,L48))</f>
        <v/>
      </c>
      <c r="G48" s="24">
        <f>IF(B48="","",INDEX(Calc!$C$2:$C$301,L48))</f>
        <v/>
      </c>
      <c r="H48" s="28">
        <f>IF(G48="","",IF(G48&gt;=Q_BOA,"Boa",IF(G48&gt;=Q_ATENCAO,"Atenção","Crítica")))</f>
        <v/>
      </c>
      <c r="I48" s="1" t="n"/>
      <c r="J48" s="1" t="n"/>
      <c r="K48" s="1">
        <f>IF(B48="","",IF($C$4="Maiores notas primeiro",LARGE(Calc!$K$2:$K$301,B48),SMALL(Calc!$K$2:$K$301,B48)))</f>
        <v/>
      </c>
      <c r="L48" s="1">
        <f>IF(B48="","",MATCH(K48,Calc!$K$2:$K$301,0))</f>
        <v/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 s="1" t="n"/>
      <c r="B49" s="28">
        <f>IF(42&lt;=COUNT(Calc!$K$2:$K$301),42,"")</f>
        <v/>
      </c>
      <c r="C49" s="23">
        <f>IF(B49="","",INDEX(Calc!$B$2:$B$301,L49))</f>
        <v/>
      </c>
      <c r="D49" s="28">
        <f>IF(B49="","",INDEX(Calc!$E$2:$E$301,L49))</f>
        <v/>
      </c>
      <c r="E49" s="28">
        <f>IF(B49="","",INDEX(Calc!$H$2:$H$301,L49))</f>
        <v/>
      </c>
      <c r="F49" s="28">
        <f>IF(B49="","",INDEX(Calc!$G$2:$G$301,L49))</f>
        <v/>
      </c>
      <c r="G49" s="24">
        <f>IF(B49="","",INDEX(Calc!$C$2:$C$301,L49))</f>
        <v/>
      </c>
      <c r="H49" s="28">
        <f>IF(G49="","",IF(G49&gt;=Q_BOA,"Boa",IF(G49&gt;=Q_ATENCAO,"Atenção","Crítica")))</f>
        <v/>
      </c>
      <c r="I49" s="1" t="n"/>
      <c r="J49" s="1" t="n"/>
      <c r="K49" s="1">
        <f>IF(B49="","",IF($C$4="Maiores notas primeiro",LARGE(Calc!$K$2:$K$301,B49),SMALL(Calc!$K$2:$K$301,B49)))</f>
        <v/>
      </c>
      <c r="L49" s="1">
        <f>IF(B49="","",MATCH(K49,Calc!$K$2:$K$301,0))</f>
        <v/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 s="1" t="n"/>
      <c r="B50" s="28">
        <f>IF(43&lt;=COUNT(Calc!$K$2:$K$301),43,"")</f>
        <v/>
      </c>
      <c r="C50" s="23">
        <f>IF(B50="","",INDEX(Calc!$B$2:$B$301,L50))</f>
        <v/>
      </c>
      <c r="D50" s="28">
        <f>IF(B50="","",INDEX(Calc!$E$2:$E$301,L50))</f>
        <v/>
      </c>
      <c r="E50" s="28">
        <f>IF(B50="","",INDEX(Calc!$H$2:$H$301,L50))</f>
        <v/>
      </c>
      <c r="F50" s="28">
        <f>IF(B50="","",INDEX(Calc!$G$2:$G$301,L50))</f>
        <v/>
      </c>
      <c r="G50" s="24">
        <f>IF(B50="","",INDEX(Calc!$C$2:$C$301,L50))</f>
        <v/>
      </c>
      <c r="H50" s="28">
        <f>IF(G50="","",IF(G50&gt;=Q_BOA,"Boa",IF(G50&gt;=Q_ATENCAO,"Atenção","Crítica")))</f>
        <v/>
      </c>
      <c r="I50" s="1" t="n"/>
      <c r="J50" s="1" t="n"/>
      <c r="K50" s="1">
        <f>IF(B50="","",IF($C$4="Maiores notas primeiro",LARGE(Calc!$K$2:$K$301,B50),SMALL(Calc!$K$2:$K$301,B50)))</f>
        <v/>
      </c>
      <c r="L50" s="1">
        <f>IF(B50="","",MATCH(K50,Calc!$K$2:$K$301,0))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 s="1" t="n"/>
      <c r="B51" s="28">
        <f>IF(44&lt;=COUNT(Calc!$K$2:$K$301),44,"")</f>
        <v/>
      </c>
      <c r="C51" s="23">
        <f>IF(B51="","",INDEX(Calc!$B$2:$B$301,L51))</f>
        <v/>
      </c>
      <c r="D51" s="28">
        <f>IF(B51="","",INDEX(Calc!$E$2:$E$301,L51))</f>
        <v/>
      </c>
      <c r="E51" s="28">
        <f>IF(B51="","",INDEX(Calc!$H$2:$H$301,L51))</f>
        <v/>
      </c>
      <c r="F51" s="28">
        <f>IF(B51="","",INDEX(Calc!$G$2:$G$301,L51))</f>
        <v/>
      </c>
      <c r="G51" s="24">
        <f>IF(B51="","",INDEX(Calc!$C$2:$C$301,L51))</f>
        <v/>
      </c>
      <c r="H51" s="28">
        <f>IF(G51="","",IF(G51&gt;=Q_BOA,"Boa",IF(G51&gt;=Q_ATENCAO,"Atenção","Crítica")))</f>
        <v/>
      </c>
      <c r="I51" s="1" t="n"/>
      <c r="J51" s="1" t="n"/>
      <c r="K51" s="1">
        <f>IF(B51="","",IF($C$4="Maiores notas primeiro",LARGE(Calc!$K$2:$K$301,B51),SMALL(Calc!$K$2:$K$301,B51)))</f>
        <v/>
      </c>
      <c r="L51" s="1">
        <f>IF(B51="","",MATCH(K51,Calc!$K$2:$K$301,0))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 s="1" t="n"/>
      <c r="B52" s="28">
        <f>IF(45&lt;=COUNT(Calc!$K$2:$K$301),45,"")</f>
        <v/>
      </c>
      <c r="C52" s="23">
        <f>IF(B52="","",INDEX(Calc!$B$2:$B$301,L52))</f>
        <v/>
      </c>
      <c r="D52" s="28">
        <f>IF(B52="","",INDEX(Calc!$E$2:$E$301,L52))</f>
        <v/>
      </c>
      <c r="E52" s="28">
        <f>IF(B52="","",INDEX(Calc!$H$2:$H$301,L52))</f>
        <v/>
      </c>
      <c r="F52" s="28">
        <f>IF(B52="","",INDEX(Calc!$G$2:$G$301,L52))</f>
        <v/>
      </c>
      <c r="G52" s="24">
        <f>IF(B52="","",INDEX(Calc!$C$2:$C$301,L52))</f>
        <v/>
      </c>
      <c r="H52" s="28">
        <f>IF(G52="","",IF(G52&gt;=Q_BOA,"Boa",IF(G52&gt;=Q_ATENCAO,"Atenção","Crítica")))</f>
        <v/>
      </c>
      <c r="I52" s="1" t="n"/>
      <c r="J52" s="1" t="n"/>
      <c r="K52" s="1">
        <f>IF(B52="","",IF($C$4="Maiores notas primeiro",LARGE(Calc!$K$2:$K$301,B52),SMALL(Calc!$K$2:$K$301,B52)))</f>
        <v/>
      </c>
      <c r="L52" s="1">
        <f>IF(B52="","",MATCH(K52,Calc!$K$2:$K$301,0))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 s="1" t="n"/>
      <c r="B53" s="28">
        <f>IF(46&lt;=COUNT(Calc!$K$2:$K$301),46,"")</f>
        <v/>
      </c>
      <c r="C53" s="23">
        <f>IF(B53="","",INDEX(Calc!$B$2:$B$301,L53))</f>
        <v/>
      </c>
      <c r="D53" s="28">
        <f>IF(B53="","",INDEX(Calc!$E$2:$E$301,L53))</f>
        <v/>
      </c>
      <c r="E53" s="28">
        <f>IF(B53="","",INDEX(Calc!$H$2:$H$301,L53))</f>
        <v/>
      </c>
      <c r="F53" s="28">
        <f>IF(B53="","",INDEX(Calc!$G$2:$G$301,L53))</f>
        <v/>
      </c>
      <c r="G53" s="24">
        <f>IF(B53="","",INDEX(Calc!$C$2:$C$301,L53))</f>
        <v/>
      </c>
      <c r="H53" s="28">
        <f>IF(G53="","",IF(G53&gt;=Q_BOA,"Boa",IF(G53&gt;=Q_ATENCAO,"Atenção","Crítica")))</f>
        <v/>
      </c>
      <c r="I53" s="1" t="n"/>
      <c r="J53" s="1" t="n"/>
      <c r="K53" s="1">
        <f>IF(B53="","",IF($C$4="Maiores notas primeiro",LARGE(Calc!$K$2:$K$301,B53),SMALL(Calc!$K$2:$K$301,B53)))</f>
        <v/>
      </c>
      <c r="L53" s="1">
        <f>IF(B53="","",MATCH(K53,Calc!$K$2:$K$301,0))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 s="1" t="n"/>
      <c r="B54" s="28">
        <f>IF(47&lt;=COUNT(Calc!$K$2:$K$301),47,"")</f>
        <v/>
      </c>
      <c r="C54" s="23">
        <f>IF(B54="","",INDEX(Calc!$B$2:$B$301,L54))</f>
        <v/>
      </c>
      <c r="D54" s="28">
        <f>IF(B54="","",INDEX(Calc!$E$2:$E$301,L54))</f>
        <v/>
      </c>
      <c r="E54" s="28">
        <f>IF(B54="","",INDEX(Calc!$H$2:$H$301,L54))</f>
        <v/>
      </c>
      <c r="F54" s="28">
        <f>IF(B54="","",INDEX(Calc!$G$2:$G$301,L54))</f>
        <v/>
      </c>
      <c r="G54" s="24">
        <f>IF(B54="","",INDEX(Calc!$C$2:$C$301,L54))</f>
        <v/>
      </c>
      <c r="H54" s="28">
        <f>IF(G54="","",IF(G54&gt;=Q_BOA,"Boa",IF(G54&gt;=Q_ATENCAO,"Atenção","Crítica")))</f>
        <v/>
      </c>
      <c r="I54" s="1" t="n"/>
      <c r="J54" s="1" t="n"/>
      <c r="K54" s="1">
        <f>IF(B54="","",IF($C$4="Maiores notas primeiro",LARGE(Calc!$K$2:$K$301,B54),SMALL(Calc!$K$2:$K$301,B54)))</f>
        <v/>
      </c>
      <c r="L54" s="1">
        <f>IF(B54="","",MATCH(K54,Calc!$K$2:$K$301,0))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 s="1" t="n"/>
      <c r="B55" s="28">
        <f>IF(48&lt;=COUNT(Calc!$K$2:$K$301),48,"")</f>
        <v/>
      </c>
      <c r="C55" s="23">
        <f>IF(B55="","",INDEX(Calc!$B$2:$B$301,L55))</f>
        <v/>
      </c>
      <c r="D55" s="28">
        <f>IF(B55="","",INDEX(Calc!$E$2:$E$301,L55))</f>
        <v/>
      </c>
      <c r="E55" s="28">
        <f>IF(B55="","",INDEX(Calc!$H$2:$H$301,L55))</f>
        <v/>
      </c>
      <c r="F55" s="28">
        <f>IF(B55="","",INDEX(Calc!$G$2:$G$301,L55))</f>
        <v/>
      </c>
      <c r="G55" s="24">
        <f>IF(B55="","",INDEX(Calc!$C$2:$C$301,L55))</f>
        <v/>
      </c>
      <c r="H55" s="28">
        <f>IF(G55="","",IF(G55&gt;=Q_BOA,"Boa",IF(G55&gt;=Q_ATENCAO,"Atenção","Crítica")))</f>
        <v/>
      </c>
      <c r="I55" s="1" t="n"/>
      <c r="J55" s="1" t="n"/>
      <c r="K55" s="1">
        <f>IF(B55="","",IF($C$4="Maiores notas primeiro",LARGE(Calc!$K$2:$K$301,B55),SMALL(Calc!$K$2:$K$301,B55)))</f>
        <v/>
      </c>
      <c r="L55" s="1">
        <f>IF(B55="","",MATCH(K55,Calc!$K$2:$K$301,0))</f>
        <v/>
      </c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 s="1" t="n"/>
      <c r="B56" s="28">
        <f>IF(49&lt;=COUNT(Calc!$K$2:$K$301),49,"")</f>
        <v/>
      </c>
      <c r="C56" s="23">
        <f>IF(B56="","",INDEX(Calc!$B$2:$B$301,L56))</f>
        <v/>
      </c>
      <c r="D56" s="28">
        <f>IF(B56="","",INDEX(Calc!$E$2:$E$301,L56))</f>
        <v/>
      </c>
      <c r="E56" s="28">
        <f>IF(B56="","",INDEX(Calc!$H$2:$H$301,L56))</f>
        <v/>
      </c>
      <c r="F56" s="28">
        <f>IF(B56="","",INDEX(Calc!$G$2:$G$301,L56))</f>
        <v/>
      </c>
      <c r="G56" s="24">
        <f>IF(B56="","",INDEX(Calc!$C$2:$C$301,L56))</f>
        <v/>
      </c>
      <c r="H56" s="28">
        <f>IF(G56="","",IF(G56&gt;=Q_BOA,"Boa",IF(G56&gt;=Q_ATENCAO,"Atenção","Crítica")))</f>
        <v/>
      </c>
      <c r="I56" s="1" t="n"/>
      <c r="J56" s="1" t="n"/>
      <c r="K56" s="1">
        <f>IF(B56="","",IF($C$4="Maiores notas primeiro",LARGE(Calc!$K$2:$K$301,B56),SMALL(Calc!$K$2:$K$301,B56)))</f>
        <v/>
      </c>
      <c r="L56" s="1">
        <f>IF(B56="","",MATCH(K56,Calc!$K$2:$K$301,0))</f>
        <v/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 s="1" t="n"/>
      <c r="B57" s="28">
        <f>IF(50&lt;=COUNT(Calc!$K$2:$K$301),50,"")</f>
        <v/>
      </c>
      <c r="C57" s="23">
        <f>IF(B57="","",INDEX(Calc!$B$2:$B$301,L57))</f>
        <v/>
      </c>
      <c r="D57" s="28">
        <f>IF(B57="","",INDEX(Calc!$E$2:$E$301,L57))</f>
        <v/>
      </c>
      <c r="E57" s="28">
        <f>IF(B57="","",INDEX(Calc!$H$2:$H$301,L57))</f>
        <v/>
      </c>
      <c r="F57" s="28">
        <f>IF(B57="","",INDEX(Calc!$G$2:$G$301,L57))</f>
        <v/>
      </c>
      <c r="G57" s="24">
        <f>IF(B57="","",INDEX(Calc!$C$2:$C$301,L57))</f>
        <v/>
      </c>
      <c r="H57" s="28">
        <f>IF(G57="","",IF(G57&gt;=Q_BOA,"Boa",IF(G57&gt;=Q_ATENCAO,"Atenção","Crítica")))</f>
        <v/>
      </c>
      <c r="I57" s="1" t="n"/>
      <c r="J57" s="1" t="n"/>
      <c r="K57" s="1">
        <f>IF(B57="","",IF($C$4="Maiores notas primeiro",LARGE(Calc!$K$2:$K$301,B57),SMALL(Calc!$K$2:$K$301,B57)))</f>
        <v/>
      </c>
      <c r="L57" s="1">
        <f>IF(B57="","",MATCH(K57,Calc!$K$2:$K$301,0))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 s="1" t="n"/>
      <c r="B58" s="28">
        <f>IF(51&lt;=COUNT(Calc!$K$2:$K$301),51,"")</f>
        <v/>
      </c>
      <c r="C58" s="23">
        <f>IF(B58="","",INDEX(Calc!$B$2:$B$301,L58))</f>
        <v/>
      </c>
      <c r="D58" s="28">
        <f>IF(B58="","",INDEX(Calc!$E$2:$E$301,L58))</f>
        <v/>
      </c>
      <c r="E58" s="28">
        <f>IF(B58="","",INDEX(Calc!$H$2:$H$301,L58))</f>
        <v/>
      </c>
      <c r="F58" s="28">
        <f>IF(B58="","",INDEX(Calc!$G$2:$G$301,L58))</f>
        <v/>
      </c>
      <c r="G58" s="24">
        <f>IF(B58="","",INDEX(Calc!$C$2:$C$301,L58))</f>
        <v/>
      </c>
      <c r="H58" s="28">
        <f>IF(G58="","",IF(G58&gt;=Q_BOA,"Boa",IF(G58&gt;=Q_ATENCAO,"Atenção","Crítica")))</f>
        <v/>
      </c>
      <c r="I58" s="1" t="n"/>
      <c r="J58" s="1" t="n"/>
      <c r="K58" s="1">
        <f>IF(B58="","",IF($C$4="Maiores notas primeiro",LARGE(Calc!$K$2:$K$301,B58),SMALL(Calc!$K$2:$K$301,B58)))</f>
        <v/>
      </c>
      <c r="L58" s="1">
        <f>IF(B58="","",MATCH(K58,Calc!$K$2:$K$301,0))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 s="1" t="n"/>
      <c r="B59" s="28">
        <f>IF(52&lt;=COUNT(Calc!$K$2:$K$301),52,"")</f>
        <v/>
      </c>
      <c r="C59" s="23">
        <f>IF(B59="","",INDEX(Calc!$B$2:$B$301,L59))</f>
        <v/>
      </c>
      <c r="D59" s="28">
        <f>IF(B59="","",INDEX(Calc!$E$2:$E$301,L59))</f>
        <v/>
      </c>
      <c r="E59" s="28">
        <f>IF(B59="","",INDEX(Calc!$H$2:$H$301,L59))</f>
        <v/>
      </c>
      <c r="F59" s="28">
        <f>IF(B59="","",INDEX(Calc!$G$2:$G$301,L59))</f>
        <v/>
      </c>
      <c r="G59" s="24">
        <f>IF(B59="","",INDEX(Calc!$C$2:$C$301,L59))</f>
        <v/>
      </c>
      <c r="H59" s="28">
        <f>IF(G59="","",IF(G59&gt;=Q_BOA,"Boa",IF(G59&gt;=Q_ATENCAO,"Atenção","Crítica")))</f>
        <v/>
      </c>
      <c r="I59" s="1" t="n"/>
      <c r="J59" s="1" t="n"/>
      <c r="K59" s="1">
        <f>IF(B59="","",IF($C$4="Maiores notas primeiro",LARGE(Calc!$K$2:$K$301,B59),SMALL(Calc!$K$2:$K$301,B59)))</f>
        <v/>
      </c>
      <c r="L59" s="1">
        <f>IF(B59="","",MATCH(K59,Calc!$K$2:$K$301,0))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 s="1" t="n"/>
      <c r="B60" s="28">
        <f>IF(53&lt;=COUNT(Calc!$K$2:$K$301),53,"")</f>
        <v/>
      </c>
      <c r="C60" s="23">
        <f>IF(B60="","",INDEX(Calc!$B$2:$B$301,L60))</f>
        <v/>
      </c>
      <c r="D60" s="28">
        <f>IF(B60="","",INDEX(Calc!$E$2:$E$301,L60))</f>
        <v/>
      </c>
      <c r="E60" s="28">
        <f>IF(B60="","",INDEX(Calc!$H$2:$H$301,L60))</f>
        <v/>
      </c>
      <c r="F60" s="28">
        <f>IF(B60="","",INDEX(Calc!$G$2:$G$301,L60))</f>
        <v/>
      </c>
      <c r="G60" s="24">
        <f>IF(B60="","",INDEX(Calc!$C$2:$C$301,L60))</f>
        <v/>
      </c>
      <c r="H60" s="28">
        <f>IF(G60="","",IF(G60&gt;=Q_BOA,"Boa",IF(G60&gt;=Q_ATENCAO,"Atenção","Crítica")))</f>
        <v/>
      </c>
      <c r="I60" s="1" t="n"/>
      <c r="J60" s="1" t="n"/>
      <c r="K60" s="1">
        <f>IF(B60="","",IF($C$4="Maiores notas primeiro",LARGE(Calc!$K$2:$K$301,B60),SMALL(Calc!$K$2:$K$301,B60)))</f>
        <v/>
      </c>
      <c r="L60" s="1">
        <f>IF(B60="","",MATCH(K60,Calc!$K$2:$K$301,0))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>
      <c r="A61" s="1" t="n"/>
      <c r="B61" s="28">
        <f>IF(54&lt;=COUNT(Calc!$K$2:$K$301),54,"")</f>
        <v/>
      </c>
      <c r="C61" s="23">
        <f>IF(B61="","",INDEX(Calc!$B$2:$B$301,L61))</f>
        <v/>
      </c>
      <c r="D61" s="28">
        <f>IF(B61="","",INDEX(Calc!$E$2:$E$301,L61))</f>
        <v/>
      </c>
      <c r="E61" s="28">
        <f>IF(B61="","",INDEX(Calc!$H$2:$H$301,L61))</f>
        <v/>
      </c>
      <c r="F61" s="28">
        <f>IF(B61="","",INDEX(Calc!$G$2:$G$301,L61))</f>
        <v/>
      </c>
      <c r="G61" s="24">
        <f>IF(B61="","",INDEX(Calc!$C$2:$C$301,L61))</f>
        <v/>
      </c>
      <c r="H61" s="28">
        <f>IF(G61="","",IF(G61&gt;=Q_BOA,"Boa",IF(G61&gt;=Q_ATENCAO,"Atenção","Crítica")))</f>
        <v/>
      </c>
      <c r="I61" s="1" t="n"/>
      <c r="J61" s="1" t="n"/>
      <c r="K61" s="1">
        <f>IF(B61="","",IF($C$4="Maiores notas primeiro",LARGE(Calc!$K$2:$K$301,B61),SMALL(Calc!$K$2:$K$301,B61)))</f>
        <v/>
      </c>
      <c r="L61" s="1">
        <f>IF(B61="","",MATCH(K61,Calc!$K$2:$K$301,0))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>
      <c r="A62" s="1" t="n"/>
      <c r="B62" s="28">
        <f>IF(55&lt;=COUNT(Calc!$K$2:$K$301),55,"")</f>
        <v/>
      </c>
      <c r="C62" s="23">
        <f>IF(B62="","",INDEX(Calc!$B$2:$B$301,L62))</f>
        <v/>
      </c>
      <c r="D62" s="28">
        <f>IF(B62="","",INDEX(Calc!$E$2:$E$301,L62))</f>
        <v/>
      </c>
      <c r="E62" s="28">
        <f>IF(B62="","",INDEX(Calc!$H$2:$H$301,L62))</f>
        <v/>
      </c>
      <c r="F62" s="28">
        <f>IF(B62="","",INDEX(Calc!$G$2:$G$301,L62))</f>
        <v/>
      </c>
      <c r="G62" s="24">
        <f>IF(B62="","",INDEX(Calc!$C$2:$C$301,L62))</f>
        <v/>
      </c>
      <c r="H62" s="28">
        <f>IF(G62="","",IF(G62&gt;=Q_BOA,"Boa",IF(G62&gt;=Q_ATENCAO,"Atenção","Crítica")))</f>
        <v/>
      </c>
      <c r="I62" s="1" t="n"/>
      <c r="J62" s="1" t="n"/>
      <c r="K62" s="1">
        <f>IF(B62="","",IF($C$4="Maiores notas primeiro",LARGE(Calc!$K$2:$K$301,B62),SMALL(Calc!$K$2:$K$301,B62)))</f>
        <v/>
      </c>
      <c r="L62" s="1">
        <f>IF(B62="","",MATCH(K62,Calc!$K$2:$K$301,0))</f>
        <v/>
      </c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>
      <c r="A63" s="1" t="n"/>
      <c r="B63" s="28">
        <f>IF(56&lt;=COUNT(Calc!$K$2:$K$301),56,"")</f>
        <v/>
      </c>
      <c r="C63" s="23">
        <f>IF(B63="","",INDEX(Calc!$B$2:$B$301,L63))</f>
        <v/>
      </c>
      <c r="D63" s="28">
        <f>IF(B63="","",INDEX(Calc!$E$2:$E$301,L63))</f>
        <v/>
      </c>
      <c r="E63" s="28">
        <f>IF(B63="","",INDEX(Calc!$H$2:$H$301,L63))</f>
        <v/>
      </c>
      <c r="F63" s="28">
        <f>IF(B63="","",INDEX(Calc!$G$2:$G$301,L63))</f>
        <v/>
      </c>
      <c r="G63" s="24">
        <f>IF(B63="","",INDEX(Calc!$C$2:$C$301,L63))</f>
        <v/>
      </c>
      <c r="H63" s="28">
        <f>IF(G63="","",IF(G63&gt;=Q_BOA,"Boa",IF(G63&gt;=Q_ATENCAO,"Atenção","Crítica")))</f>
        <v/>
      </c>
      <c r="I63" s="1" t="n"/>
      <c r="J63" s="1" t="n"/>
      <c r="K63" s="1">
        <f>IF(B63="","",IF($C$4="Maiores notas primeiro",LARGE(Calc!$K$2:$K$301,B63),SMALL(Calc!$K$2:$K$301,B63)))</f>
        <v/>
      </c>
      <c r="L63" s="1">
        <f>IF(B63="","",MATCH(K63,Calc!$K$2:$K$301,0))</f>
        <v/>
      </c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>
      <c r="A64" s="1" t="n"/>
      <c r="B64" s="28">
        <f>IF(57&lt;=COUNT(Calc!$K$2:$K$301),57,"")</f>
        <v/>
      </c>
      <c r="C64" s="23">
        <f>IF(B64="","",INDEX(Calc!$B$2:$B$301,L64))</f>
        <v/>
      </c>
      <c r="D64" s="28">
        <f>IF(B64="","",INDEX(Calc!$E$2:$E$301,L64))</f>
        <v/>
      </c>
      <c r="E64" s="28">
        <f>IF(B64="","",INDEX(Calc!$H$2:$H$301,L64))</f>
        <v/>
      </c>
      <c r="F64" s="28">
        <f>IF(B64="","",INDEX(Calc!$G$2:$G$301,L64))</f>
        <v/>
      </c>
      <c r="G64" s="24">
        <f>IF(B64="","",INDEX(Calc!$C$2:$C$301,L64))</f>
        <v/>
      </c>
      <c r="H64" s="28">
        <f>IF(G64="","",IF(G64&gt;=Q_BOA,"Boa",IF(G64&gt;=Q_ATENCAO,"Atenção","Crítica")))</f>
        <v/>
      </c>
      <c r="I64" s="1" t="n"/>
      <c r="J64" s="1" t="n"/>
      <c r="K64" s="1">
        <f>IF(B64="","",IF($C$4="Maiores notas primeiro",LARGE(Calc!$K$2:$K$301,B64),SMALL(Calc!$K$2:$K$301,B64)))</f>
        <v/>
      </c>
      <c r="L64" s="1">
        <f>IF(B64="","",MATCH(K64,Calc!$K$2:$K$301,0))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  <row r="65">
      <c r="A65" s="1" t="n"/>
      <c r="B65" s="28">
        <f>IF(58&lt;=COUNT(Calc!$K$2:$K$301),58,"")</f>
        <v/>
      </c>
      <c r="C65" s="23">
        <f>IF(B65="","",INDEX(Calc!$B$2:$B$301,L65))</f>
        <v/>
      </c>
      <c r="D65" s="28">
        <f>IF(B65="","",INDEX(Calc!$E$2:$E$301,L65))</f>
        <v/>
      </c>
      <c r="E65" s="28">
        <f>IF(B65="","",INDEX(Calc!$H$2:$H$301,L65))</f>
        <v/>
      </c>
      <c r="F65" s="28">
        <f>IF(B65="","",INDEX(Calc!$G$2:$G$301,L65))</f>
        <v/>
      </c>
      <c r="G65" s="24">
        <f>IF(B65="","",INDEX(Calc!$C$2:$C$301,L65))</f>
        <v/>
      </c>
      <c r="H65" s="28">
        <f>IF(G65="","",IF(G65&gt;=Q_BOA,"Boa",IF(G65&gt;=Q_ATENCAO,"Atenção","Crítica")))</f>
        <v/>
      </c>
      <c r="I65" s="1" t="n"/>
      <c r="J65" s="1" t="n"/>
      <c r="K65" s="1">
        <f>IF(B65="","",IF($C$4="Maiores notas primeiro",LARGE(Calc!$K$2:$K$301,B65),SMALL(Calc!$K$2:$K$301,B65)))</f>
        <v/>
      </c>
      <c r="L65" s="1">
        <f>IF(B65="","",MATCH(K65,Calc!$K$2:$K$301,0))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</row>
    <row r="66">
      <c r="A66" s="1" t="n"/>
      <c r="B66" s="28">
        <f>IF(59&lt;=COUNT(Calc!$K$2:$K$301),59,"")</f>
        <v/>
      </c>
      <c r="C66" s="23">
        <f>IF(B66="","",INDEX(Calc!$B$2:$B$301,L66))</f>
        <v/>
      </c>
      <c r="D66" s="28">
        <f>IF(B66="","",INDEX(Calc!$E$2:$E$301,L66))</f>
        <v/>
      </c>
      <c r="E66" s="28">
        <f>IF(B66="","",INDEX(Calc!$H$2:$H$301,L66))</f>
        <v/>
      </c>
      <c r="F66" s="28">
        <f>IF(B66="","",INDEX(Calc!$G$2:$G$301,L66))</f>
        <v/>
      </c>
      <c r="G66" s="24">
        <f>IF(B66="","",INDEX(Calc!$C$2:$C$301,L66))</f>
        <v/>
      </c>
      <c r="H66" s="28">
        <f>IF(G66="","",IF(G66&gt;=Q_BOA,"Boa",IF(G66&gt;=Q_ATENCAO,"Atenção","Crítica")))</f>
        <v/>
      </c>
      <c r="I66" s="1" t="n"/>
      <c r="J66" s="1" t="n"/>
      <c r="K66" s="1">
        <f>IF(B66="","",IF($C$4="Maiores notas primeiro",LARGE(Calc!$K$2:$K$301,B66),SMALL(Calc!$K$2:$K$301,B66)))</f>
        <v/>
      </c>
      <c r="L66" s="1">
        <f>IF(B66="","",MATCH(K66,Calc!$K$2:$K$301,0))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>
      <c r="A67" s="1" t="n"/>
      <c r="B67" s="28">
        <f>IF(60&lt;=COUNT(Calc!$K$2:$K$301),60,"")</f>
        <v/>
      </c>
      <c r="C67" s="23">
        <f>IF(B67="","",INDEX(Calc!$B$2:$B$301,L67))</f>
        <v/>
      </c>
      <c r="D67" s="28">
        <f>IF(B67="","",INDEX(Calc!$E$2:$E$301,L67))</f>
        <v/>
      </c>
      <c r="E67" s="28">
        <f>IF(B67="","",INDEX(Calc!$H$2:$H$301,L67))</f>
        <v/>
      </c>
      <c r="F67" s="28">
        <f>IF(B67="","",INDEX(Calc!$G$2:$G$301,L67))</f>
        <v/>
      </c>
      <c r="G67" s="24">
        <f>IF(B67="","",INDEX(Calc!$C$2:$C$301,L67))</f>
        <v/>
      </c>
      <c r="H67" s="28">
        <f>IF(G67="","",IF(G67&gt;=Q_BOA,"Boa",IF(G67&gt;=Q_ATENCAO,"Atenção","Crítica")))</f>
        <v/>
      </c>
      <c r="I67" s="1" t="n"/>
      <c r="J67" s="1" t="n"/>
      <c r="K67" s="1">
        <f>IF(B67="","",IF($C$4="Maiores notas primeiro",LARGE(Calc!$K$2:$K$301,B67),SMALL(Calc!$K$2:$K$301,B67)))</f>
        <v/>
      </c>
      <c r="L67" s="1">
        <f>IF(B67="","",MATCH(K67,Calc!$K$2:$K$301,0))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>
      <c r="A68" s="1" t="n"/>
      <c r="B68" s="28">
        <f>IF(61&lt;=COUNT(Calc!$K$2:$K$301),61,"")</f>
        <v/>
      </c>
      <c r="C68" s="23">
        <f>IF(B68="","",INDEX(Calc!$B$2:$B$301,L68))</f>
        <v/>
      </c>
      <c r="D68" s="28">
        <f>IF(B68="","",INDEX(Calc!$E$2:$E$301,L68))</f>
        <v/>
      </c>
      <c r="E68" s="28">
        <f>IF(B68="","",INDEX(Calc!$H$2:$H$301,L68))</f>
        <v/>
      </c>
      <c r="F68" s="28">
        <f>IF(B68="","",INDEX(Calc!$G$2:$G$301,L68))</f>
        <v/>
      </c>
      <c r="G68" s="24">
        <f>IF(B68="","",INDEX(Calc!$C$2:$C$301,L68))</f>
        <v/>
      </c>
      <c r="H68" s="28">
        <f>IF(G68="","",IF(G68&gt;=Q_BOA,"Boa",IF(G68&gt;=Q_ATENCAO,"Atenção","Crítica")))</f>
        <v/>
      </c>
      <c r="I68" s="1" t="n"/>
      <c r="J68" s="1" t="n"/>
      <c r="K68" s="1">
        <f>IF(B68="","",IF($C$4="Maiores notas primeiro",LARGE(Calc!$K$2:$K$301,B68),SMALL(Calc!$K$2:$K$301,B68)))</f>
        <v/>
      </c>
      <c r="L68" s="1">
        <f>IF(B68="","",MATCH(K68,Calc!$K$2:$K$301,0))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>
      <c r="A69" s="1" t="n"/>
      <c r="B69" s="28">
        <f>IF(62&lt;=COUNT(Calc!$K$2:$K$301),62,"")</f>
        <v/>
      </c>
      <c r="C69" s="23">
        <f>IF(B69="","",INDEX(Calc!$B$2:$B$301,L69))</f>
        <v/>
      </c>
      <c r="D69" s="28">
        <f>IF(B69="","",INDEX(Calc!$E$2:$E$301,L69))</f>
        <v/>
      </c>
      <c r="E69" s="28">
        <f>IF(B69="","",INDEX(Calc!$H$2:$H$301,L69))</f>
        <v/>
      </c>
      <c r="F69" s="28">
        <f>IF(B69="","",INDEX(Calc!$G$2:$G$301,L69))</f>
        <v/>
      </c>
      <c r="G69" s="24">
        <f>IF(B69="","",INDEX(Calc!$C$2:$C$301,L69))</f>
        <v/>
      </c>
      <c r="H69" s="28">
        <f>IF(G69="","",IF(G69&gt;=Q_BOA,"Boa",IF(G69&gt;=Q_ATENCAO,"Atenção","Crítica")))</f>
        <v/>
      </c>
      <c r="I69" s="1" t="n"/>
      <c r="J69" s="1" t="n"/>
      <c r="K69" s="1">
        <f>IF(B69="","",IF($C$4="Maiores notas primeiro",LARGE(Calc!$K$2:$K$301,B69),SMALL(Calc!$K$2:$K$301,B69)))</f>
        <v/>
      </c>
      <c r="L69" s="1">
        <f>IF(B69="","",MATCH(K69,Calc!$K$2:$K$301,0))</f>
        <v/>
      </c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>
      <c r="A70" s="1" t="n"/>
      <c r="B70" s="28">
        <f>IF(63&lt;=COUNT(Calc!$K$2:$K$301),63,"")</f>
        <v/>
      </c>
      <c r="C70" s="23">
        <f>IF(B70="","",INDEX(Calc!$B$2:$B$301,L70))</f>
        <v/>
      </c>
      <c r="D70" s="28">
        <f>IF(B70="","",INDEX(Calc!$E$2:$E$301,L70))</f>
        <v/>
      </c>
      <c r="E70" s="28">
        <f>IF(B70="","",INDEX(Calc!$H$2:$H$301,L70))</f>
        <v/>
      </c>
      <c r="F70" s="28">
        <f>IF(B70="","",INDEX(Calc!$G$2:$G$301,L70))</f>
        <v/>
      </c>
      <c r="G70" s="24">
        <f>IF(B70="","",INDEX(Calc!$C$2:$C$301,L70))</f>
        <v/>
      </c>
      <c r="H70" s="28">
        <f>IF(G70="","",IF(G70&gt;=Q_BOA,"Boa",IF(G70&gt;=Q_ATENCAO,"Atenção","Crítica")))</f>
        <v/>
      </c>
      <c r="I70" s="1" t="n"/>
      <c r="J70" s="1" t="n"/>
      <c r="K70" s="1">
        <f>IF(B70="","",IF($C$4="Maiores notas primeiro",LARGE(Calc!$K$2:$K$301,B70),SMALL(Calc!$K$2:$K$301,B70)))</f>
        <v/>
      </c>
      <c r="L70" s="1">
        <f>IF(B70="","",MATCH(K70,Calc!$K$2:$K$301,0))</f>
        <v/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>
      <c r="A71" s="1" t="n"/>
      <c r="B71" s="28">
        <f>IF(64&lt;=COUNT(Calc!$K$2:$K$301),64,"")</f>
        <v/>
      </c>
      <c r="C71" s="23">
        <f>IF(B71="","",INDEX(Calc!$B$2:$B$301,L71))</f>
        <v/>
      </c>
      <c r="D71" s="28">
        <f>IF(B71="","",INDEX(Calc!$E$2:$E$301,L71))</f>
        <v/>
      </c>
      <c r="E71" s="28">
        <f>IF(B71="","",INDEX(Calc!$H$2:$H$301,L71))</f>
        <v/>
      </c>
      <c r="F71" s="28">
        <f>IF(B71="","",INDEX(Calc!$G$2:$G$301,L71))</f>
        <v/>
      </c>
      <c r="G71" s="24">
        <f>IF(B71="","",INDEX(Calc!$C$2:$C$301,L71))</f>
        <v/>
      </c>
      <c r="H71" s="28">
        <f>IF(G71="","",IF(G71&gt;=Q_BOA,"Boa",IF(G71&gt;=Q_ATENCAO,"Atenção","Crítica")))</f>
        <v/>
      </c>
      <c r="I71" s="1" t="n"/>
      <c r="J71" s="1" t="n"/>
      <c r="K71" s="1">
        <f>IF(B71="","",IF($C$4="Maiores notas primeiro",LARGE(Calc!$K$2:$K$301,B71),SMALL(Calc!$K$2:$K$301,B71)))</f>
        <v/>
      </c>
      <c r="L71" s="1">
        <f>IF(B71="","",MATCH(K71,Calc!$K$2:$K$301,0))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>
      <c r="A72" s="1" t="n"/>
      <c r="B72" s="28">
        <f>IF(65&lt;=COUNT(Calc!$K$2:$K$301),65,"")</f>
        <v/>
      </c>
      <c r="C72" s="23">
        <f>IF(B72="","",INDEX(Calc!$B$2:$B$301,L72))</f>
        <v/>
      </c>
      <c r="D72" s="28">
        <f>IF(B72="","",INDEX(Calc!$E$2:$E$301,L72))</f>
        <v/>
      </c>
      <c r="E72" s="28">
        <f>IF(B72="","",INDEX(Calc!$H$2:$H$301,L72))</f>
        <v/>
      </c>
      <c r="F72" s="28">
        <f>IF(B72="","",INDEX(Calc!$G$2:$G$301,L72))</f>
        <v/>
      </c>
      <c r="G72" s="24">
        <f>IF(B72="","",INDEX(Calc!$C$2:$C$301,L72))</f>
        <v/>
      </c>
      <c r="H72" s="28">
        <f>IF(G72="","",IF(G72&gt;=Q_BOA,"Boa",IF(G72&gt;=Q_ATENCAO,"Atenção","Crítica")))</f>
        <v/>
      </c>
      <c r="I72" s="1" t="n"/>
      <c r="J72" s="1" t="n"/>
      <c r="K72" s="1">
        <f>IF(B72="","",IF($C$4="Maiores notas primeiro",LARGE(Calc!$K$2:$K$301,B72),SMALL(Calc!$K$2:$K$301,B72)))</f>
        <v/>
      </c>
      <c r="L72" s="1">
        <f>IF(B72="","",MATCH(K72,Calc!$K$2:$K$301,0))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>
      <c r="A73" s="1" t="n"/>
      <c r="B73" s="28">
        <f>IF(66&lt;=COUNT(Calc!$K$2:$K$301),66,"")</f>
        <v/>
      </c>
      <c r="C73" s="23">
        <f>IF(B73="","",INDEX(Calc!$B$2:$B$301,L73))</f>
        <v/>
      </c>
      <c r="D73" s="28">
        <f>IF(B73="","",INDEX(Calc!$E$2:$E$301,L73))</f>
        <v/>
      </c>
      <c r="E73" s="28">
        <f>IF(B73="","",INDEX(Calc!$H$2:$H$301,L73))</f>
        <v/>
      </c>
      <c r="F73" s="28">
        <f>IF(B73="","",INDEX(Calc!$G$2:$G$301,L73))</f>
        <v/>
      </c>
      <c r="G73" s="24">
        <f>IF(B73="","",INDEX(Calc!$C$2:$C$301,L73))</f>
        <v/>
      </c>
      <c r="H73" s="28">
        <f>IF(G73="","",IF(G73&gt;=Q_BOA,"Boa",IF(G73&gt;=Q_ATENCAO,"Atenção","Crítica")))</f>
        <v/>
      </c>
      <c r="I73" s="1" t="n"/>
      <c r="J73" s="1" t="n"/>
      <c r="K73" s="1">
        <f>IF(B73="","",IF($C$4="Maiores notas primeiro",LARGE(Calc!$K$2:$K$301,B73),SMALL(Calc!$K$2:$K$301,B73)))</f>
        <v/>
      </c>
      <c r="L73" s="1">
        <f>IF(B73="","",MATCH(K73,Calc!$K$2:$K$301,0))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>
      <c r="A74" s="1" t="n"/>
      <c r="B74" s="28">
        <f>IF(67&lt;=COUNT(Calc!$K$2:$K$301),67,"")</f>
        <v/>
      </c>
      <c r="C74" s="23">
        <f>IF(B74="","",INDEX(Calc!$B$2:$B$301,L74))</f>
        <v/>
      </c>
      <c r="D74" s="28">
        <f>IF(B74="","",INDEX(Calc!$E$2:$E$301,L74))</f>
        <v/>
      </c>
      <c r="E74" s="28">
        <f>IF(B74="","",INDEX(Calc!$H$2:$H$301,L74))</f>
        <v/>
      </c>
      <c r="F74" s="28">
        <f>IF(B74="","",INDEX(Calc!$G$2:$G$301,L74))</f>
        <v/>
      </c>
      <c r="G74" s="24">
        <f>IF(B74="","",INDEX(Calc!$C$2:$C$301,L74))</f>
        <v/>
      </c>
      <c r="H74" s="28">
        <f>IF(G74="","",IF(G74&gt;=Q_BOA,"Boa",IF(G74&gt;=Q_ATENCAO,"Atenção","Crítica")))</f>
        <v/>
      </c>
      <c r="I74" s="1" t="n"/>
      <c r="J74" s="1" t="n"/>
      <c r="K74" s="1">
        <f>IF(B74="","",IF($C$4="Maiores notas primeiro",LARGE(Calc!$K$2:$K$301,B74),SMALL(Calc!$K$2:$K$301,B74)))</f>
        <v/>
      </c>
      <c r="L74" s="1">
        <f>IF(B74="","",MATCH(K74,Calc!$K$2:$K$301,0))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>
      <c r="A75" s="1" t="n"/>
      <c r="B75" s="28">
        <f>IF(68&lt;=COUNT(Calc!$K$2:$K$301),68,"")</f>
        <v/>
      </c>
      <c r="C75" s="23">
        <f>IF(B75="","",INDEX(Calc!$B$2:$B$301,L75))</f>
        <v/>
      </c>
      <c r="D75" s="28">
        <f>IF(B75="","",INDEX(Calc!$E$2:$E$301,L75))</f>
        <v/>
      </c>
      <c r="E75" s="28">
        <f>IF(B75="","",INDEX(Calc!$H$2:$H$301,L75))</f>
        <v/>
      </c>
      <c r="F75" s="28">
        <f>IF(B75="","",INDEX(Calc!$G$2:$G$301,L75))</f>
        <v/>
      </c>
      <c r="G75" s="24">
        <f>IF(B75="","",INDEX(Calc!$C$2:$C$301,L75))</f>
        <v/>
      </c>
      <c r="H75" s="28">
        <f>IF(G75="","",IF(G75&gt;=Q_BOA,"Boa",IF(G75&gt;=Q_ATENCAO,"Atenção","Crítica")))</f>
        <v/>
      </c>
      <c r="I75" s="1" t="n"/>
      <c r="J75" s="1" t="n"/>
      <c r="K75" s="1">
        <f>IF(B75="","",IF($C$4="Maiores notas primeiro",LARGE(Calc!$K$2:$K$301,B75),SMALL(Calc!$K$2:$K$301,B75)))</f>
        <v/>
      </c>
      <c r="L75" s="1">
        <f>IF(B75="","",MATCH(K75,Calc!$K$2:$K$301,0))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>
      <c r="A76" s="1" t="n"/>
      <c r="B76" s="28">
        <f>IF(69&lt;=COUNT(Calc!$K$2:$K$301),69,"")</f>
        <v/>
      </c>
      <c r="C76" s="23">
        <f>IF(B76="","",INDEX(Calc!$B$2:$B$301,L76))</f>
        <v/>
      </c>
      <c r="D76" s="28">
        <f>IF(B76="","",INDEX(Calc!$E$2:$E$301,L76))</f>
        <v/>
      </c>
      <c r="E76" s="28">
        <f>IF(B76="","",INDEX(Calc!$H$2:$H$301,L76))</f>
        <v/>
      </c>
      <c r="F76" s="28">
        <f>IF(B76="","",INDEX(Calc!$G$2:$G$301,L76))</f>
        <v/>
      </c>
      <c r="G76" s="24">
        <f>IF(B76="","",INDEX(Calc!$C$2:$C$301,L76))</f>
        <v/>
      </c>
      <c r="H76" s="28">
        <f>IF(G76="","",IF(G76&gt;=Q_BOA,"Boa",IF(G76&gt;=Q_ATENCAO,"Atenção","Crítica")))</f>
        <v/>
      </c>
      <c r="I76" s="1" t="n"/>
      <c r="J76" s="1" t="n"/>
      <c r="K76" s="1">
        <f>IF(B76="","",IF($C$4="Maiores notas primeiro",LARGE(Calc!$K$2:$K$301,B76),SMALL(Calc!$K$2:$K$301,B76)))</f>
        <v/>
      </c>
      <c r="L76" s="1">
        <f>IF(B76="","",MATCH(K76,Calc!$K$2:$K$301,0))</f>
        <v/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>
      <c r="A77" s="1" t="n"/>
      <c r="B77" s="28">
        <f>IF(70&lt;=COUNT(Calc!$K$2:$K$301),70,"")</f>
        <v/>
      </c>
      <c r="C77" s="23">
        <f>IF(B77="","",INDEX(Calc!$B$2:$B$301,L77))</f>
        <v/>
      </c>
      <c r="D77" s="28">
        <f>IF(B77="","",INDEX(Calc!$E$2:$E$301,L77))</f>
        <v/>
      </c>
      <c r="E77" s="28">
        <f>IF(B77="","",INDEX(Calc!$H$2:$H$301,L77))</f>
        <v/>
      </c>
      <c r="F77" s="28">
        <f>IF(B77="","",INDEX(Calc!$G$2:$G$301,L77))</f>
        <v/>
      </c>
      <c r="G77" s="24">
        <f>IF(B77="","",INDEX(Calc!$C$2:$C$301,L77))</f>
        <v/>
      </c>
      <c r="H77" s="28">
        <f>IF(G77="","",IF(G77&gt;=Q_BOA,"Boa",IF(G77&gt;=Q_ATENCAO,"Atenção","Crítica")))</f>
        <v/>
      </c>
      <c r="I77" s="1" t="n"/>
      <c r="J77" s="1" t="n"/>
      <c r="K77" s="1">
        <f>IF(B77="","",IF($C$4="Maiores notas primeiro",LARGE(Calc!$K$2:$K$301,B77),SMALL(Calc!$K$2:$K$301,B77)))</f>
        <v/>
      </c>
      <c r="L77" s="1">
        <f>IF(B77="","",MATCH(K77,Calc!$K$2:$K$301,0))</f>
        <v/>
      </c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>
      <c r="A78" s="1" t="n"/>
      <c r="B78" s="28">
        <f>IF(71&lt;=COUNT(Calc!$K$2:$K$301),71,"")</f>
        <v/>
      </c>
      <c r="C78" s="23">
        <f>IF(B78="","",INDEX(Calc!$B$2:$B$301,L78))</f>
        <v/>
      </c>
      <c r="D78" s="28">
        <f>IF(B78="","",INDEX(Calc!$E$2:$E$301,L78))</f>
        <v/>
      </c>
      <c r="E78" s="28">
        <f>IF(B78="","",INDEX(Calc!$H$2:$H$301,L78))</f>
        <v/>
      </c>
      <c r="F78" s="28">
        <f>IF(B78="","",INDEX(Calc!$G$2:$G$301,L78))</f>
        <v/>
      </c>
      <c r="G78" s="24">
        <f>IF(B78="","",INDEX(Calc!$C$2:$C$301,L78))</f>
        <v/>
      </c>
      <c r="H78" s="28">
        <f>IF(G78="","",IF(G78&gt;=Q_BOA,"Boa",IF(G78&gt;=Q_ATENCAO,"Atenção","Crítica")))</f>
        <v/>
      </c>
      <c r="I78" s="1" t="n"/>
      <c r="J78" s="1" t="n"/>
      <c r="K78" s="1">
        <f>IF(B78="","",IF($C$4="Maiores notas primeiro",LARGE(Calc!$K$2:$K$301,B78),SMALL(Calc!$K$2:$K$301,B78)))</f>
        <v/>
      </c>
      <c r="L78" s="1">
        <f>IF(B78="","",MATCH(K78,Calc!$K$2:$K$301,0))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>
      <c r="A79" s="1" t="n"/>
      <c r="B79" s="28">
        <f>IF(72&lt;=COUNT(Calc!$K$2:$K$301),72,"")</f>
        <v/>
      </c>
      <c r="C79" s="23">
        <f>IF(B79="","",INDEX(Calc!$B$2:$B$301,L79))</f>
        <v/>
      </c>
      <c r="D79" s="28">
        <f>IF(B79="","",INDEX(Calc!$E$2:$E$301,L79))</f>
        <v/>
      </c>
      <c r="E79" s="28">
        <f>IF(B79="","",INDEX(Calc!$H$2:$H$301,L79))</f>
        <v/>
      </c>
      <c r="F79" s="28">
        <f>IF(B79="","",INDEX(Calc!$G$2:$G$301,L79))</f>
        <v/>
      </c>
      <c r="G79" s="24">
        <f>IF(B79="","",INDEX(Calc!$C$2:$C$301,L79))</f>
        <v/>
      </c>
      <c r="H79" s="28">
        <f>IF(G79="","",IF(G79&gt;=Q_BOA,"Boa",IF(G79&gt;=Q_ATENCAO,"Atenção","Crítica")))</f>
        <v/>
      </c>
      <c r="I79" s="1" t="n"/>
      <c r="J79" s="1" t="n"/>
      <c r="K79" s="1">
        <f>IF(B79="","",IF($C$4="Maiores notas primeiro",LARGE(Calc!$K$2:$K$301,B79),SMALL(Calc!$K$2:$K$301,B79)))</f>
        <v/>
      </c>
      <c r="L79" s="1">
        <f>IF(B79="","",MATCH(K79,Calc!$K$2:$K$301,0))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>
      <c r="A80" s="1" t="n"/>
      <c r="B80" s="28">
        <f>IF(73&lt;=COUNT(Calc!$K$2:$K$301),73,"")</f>
        <v/>
      </c>
      <c r="C80" s="23">
        <f>IF(B80="","",INDEX(Calc!$B$2:$B$301,L80))</f>
        <v/>
      </c>
      <c r="D80" s="28">
        <f>IF(B80="","",INDEX(Calc!$E$2:$E$301,L80))</f>
        <v/>
      </c>
      <c r="E80" s="28">
        <f>IF(B80="","",INDEX(Calc!$H$2:$H$301,L80))</f>
        <v/>
      </c>
      <c r="F80" s="28">
        <f>IF(B80="","",INDEX(Calc!$G$2:$G$301,L80))</f>
        <v/>
      </c>
      <c r="G80" s="24">
        <f>IF(B80="","",INDEX(Calc!$C$2:$C$301,L80))</f>
        <v/>
      </c>
      <c r="H80" s="28">
        <f>IF(G80="","",IF(G80&gt;=Q_BOA,"Boa",IF(G80&gt;=Q_ATENCAO,"Atenção","Crítica")))</f>
        <v/>
      </c>
      <c r="I80" s="1" t="n"/>
      <c r="J80" s="1" t="n"/>
      <c r="K80" s="1">
        <f>IF(B80="","",IF($C$4="Maiores notas primeiro",LARGE(Calc!$K$2:$K$301,B80),SMALL(Calc!$K$2:$K$301,B80)))</f>
        <v/>
      </c>
      <c r="L80" s="1">
        <f>IF(B80="","",MATCH(K80,Calc!$K$2:$K$301,0))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>
      <c r="A81" s="1" t="n"/>
      <c r="B81" s="28">
        <f>IF(74&lt;=COUNT(Calc!$K$2:$K$301),74,"")</f>
        <v/>
      </c>
      <c r="C81" s="23">
        <f>IF(B81="","",INDEX(Calc!$B$2:$B$301,L81))</f>
        <v/>
      </c>
      <c r="D81" s="28">
        <f>IF(B81="","",INDEX(Calc!$E$2:$E$301,L81))</f>
        <v/>
      </c>
      <c r="E81" s="28">
        <f>IF(B81="","",INDEX(Calc!$H$2:$H$301,L81))</f>
        <v/>
      </c>
      <c r="F81" s="28">
        <f>IF(B81="","",INDEX(Calc!$G$2:$G$301,L81))</f>
        <v/>
      </c>
      <c r="G81" s="24">
        <f>IF(B81="","",INDEX(Calc!$C$2:$C$301,L81))</f>
        <v/>
      </c>
      <c r="H81" s="28">
        <f>IF(G81="","",IF(G81&gt;=Q_BOA,"Boa",IF(G81&gt;=Q_ATENCAO,"Atenção","Crítica")))</f>
        <v/>
      </c>
      <c r="I81" s="1" t="n"/>
      <c r="J81" s="1" t="n"/>
      <c r="K81" s="1">
        <f>IF(B81="","",IF($C$4="Maiores notas primeiro",LARGE(Calc!$K$2:$K$301,B81),SMALL(Calc!$K$2:$K$301,B81)))</f>
        <v/>
      </c>
      <c r="L81" s="1">
        <f>IF(B81="","",MATCH(K81,Calc!$K$2:$K$301,0))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>
      <c r="A82" s="1" t="n"/>
      <c r="B82" s="28">
        <f>IF(75&lt;=COUNT(Calc!$K$2:$K$301),75,"")</f>
        <v/>
      </c>
      <c r="C82" s="23">
        <f>IF(B82="","",INDEX(Calc!$B$2:$B$301,L82))</f>
        <v/>
      </c>
      <c r="D82" s="28">
        <f>IF(B82="","",INDEX(Calc!$E$2:$E$301,L82))</f>
        <v/>
      </c>
      <c r="E82" s="28">
        <f>IF(B82="","",INDEX(Calc!$H$2:$H$301,L82))</f>
        <v/>
      </c>
      <c r="F82" s="28">
        <f>IF(B82="","",INDEX(Calc!$G$2:$G$301,L82))</f>
        <v/>
      </c>
      <c r="G82" s="24">
        <f>IF(B82="","",INDEX(Calc!$C$2:$C$301,L82))</f>
        <v/>
      </c>
      <c r="H82" s="28">
        <f>IF(G82="","",IF(G82&gt;=Q_BOA,"Boa",IF(G82&gt;=Q_ATENCAO,"Atenção","Crítica")))</f>
        <v/>
      </c>
      <c r="I82" s="1" t="n"/>
      <c r="J82" s="1" t="n"/>
      <c r="K82" s="1">
        <f>IF(B82="","",IF($C$4="Maiores notas primeiro",LARGE(Calc!$K$2:$K$301,B82),SMALL(Calc!$K$2:$K$301,B82)))</f>
        <v/>
      </c>
      <c r="L82" s="1">
        <f>IF(B82="","",MATCH(K82,Calc!$K$2:$K$301,0))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>
      <c r="A83" s="1" t="n"/>
      <c r="B83" s="28">
        <f>IF(76&lt;=COUNT(Calc!$K$2:$K$301),76,"")</f>
        <v/>
      </c>
      <c r="C83" s="23">
        <f>IF(B83="","",INDEX(Calc!$B$2:$B$301,L83))</f>
        <v/>
      </c>
      <c r="D83" s="28">
        <f>IF(B83="","",INDEX(Calc!$E$2:$E$301,L83))</f>
        <v/>
      </c>
      <c r="E83" s="28">
        <f>IF(B83="","",INDEX(Calc!$H$2:$H$301,L83))</f>
        <v/>
      </c>
      <c r="F83" s="28">
        <f>IF(B83="","",INDEX(Calc!$G$2:$G$301,L83))</f>
        <v/>
      </c>
      <c r="G83" s="24">
        <f>IF(B83="","",INDEX(Calc!$C$2:$C$301,L83))</f>
        <v/>
      </c>
      <c r="H83" s="28">
        <f>IF(G83="","",IF(G83&gt;=Q_BOA,"Boa",IF(G83&gt;=Q_ATENCAO,"Atenção","Crítica")))</f>
        <v/>
      </c>
      <c r="I83" s="1" t="n"/>
      <c r="J83" s="1" t="n"/>
      <c r="K83" s="1">
        <f>IF(B83="","",IF($C$4="Maiores notas primeiro",LARGE(Calc!$K$2:$K$301,B83),SMALL(Calc!$K$2:$K$301,B83)))</f>
        <v/>
      </c>
      <c r="L83" s="1">
        <f>IF(B83="","",MATCH(K83,Calc!$K$2:$K$301,0))</f>
        <v/>
      </c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>
      <c r="A84" s="1" t="n"/>
      <c r="B84" s="28">
        <f>IF(77&lt;=COUNT(Calc!$K$2:$K$301),77,"")</f>
        <v/>
      </c>
      <c r="C84" s="23">
        <f>IF(B84="","",INDEX(Calc!$B$2:$B$301,L84))</f>
        <v/>
      </c>
      <c r="D84" s="28">
        <f>IF(B84="","",INDEX(Calc!$E$2:$E$301,L84))</f>
        <v/>
      </c>
      <c r="E84" s="28">
        <f>IF(B84="","",INDEX(Calc!$H$2:$H$301,L84))</f>
        <v/>
      </c>
      <c r="F84" s="28">
        <f>IF(B84="","",INDEX(Calc!$G$2:$G$301,L84))</f>
        <v/>
      </c>
      <c r="G84" s="24">
        <f>IF(B84="","",INDEX(Calc!$C$2:$C$301,L84))</f>
        <v/>
      </c>
      <c r="H84" s="28">
        <f>IF(G84="","",IF(G84&gt;=Q_BOA,"Boa",IF(G84&gt;=Q_ATENCAO,"Atenção","Crítica")))</f>
        <v/>
      </c>
      <c r="I84" s="1" t="n"/>
      <c r="J84" s="1" t="n"/>
      <c r="K84" s="1">
        <f>IF(B84="","",IF($C$4="Maiores notas primeiro",LARGE(Calc!$K$2:$K$301,B84),SMALL(Calc!$K$2:$K$301,B84)))</f>
        <v/>
      </c>
      <c r="L84" s="1">
        <f>IF(B84="","",MATCH(K84,Calc!$K$2:$K$301,0))</f>
        <v/>
      </c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>
      <c r="A85" s="1" t="n"/>
      <c r="B85" s="28">
        <f>IF(78&lt;=COUNT(Calc!$K$2:$K$301),78,"")</f>
        <v/>
      </c>
      <c r="C85" s="23">
        <f>IF(B85="","",INDEX(Calc!$B$2:$B$301,L85))</f>
        <v/>
      </c>
      <c r="D85" s="28">
        <f>IF(B85="","",INDEX(Calc!$E$2:$E$301,L85))</f>
        <v/>
      </c>
      <c r="E85" s="28">
        <f>IF(B85="","",INDEX(Calc!$H$2:$H$301,L85))</f>
        <v/>
      </c>
      <c r="F85" s="28">
        <f>IF(B85="","",INDEX(Calc!$G$2:$G$301,L85))</f>
        <v/>
      </c>
      <c r="G85" s="24">
        <f>IF(B85="","",INDEX(Calc!$C$2:$C$301,L85))</f>
        <v/>
      </c>
      <c r="H85" s="28">
        <f>IF(G85="","",IF(G85&gt;=Q_BOA,"Boa",IF(G85&gt;=Q_ATENCAO,"Atenção","Crítica")))</f>
        <v/>
      </c>
      <c r="I85" s="1" t="n"/>
      <c r="J85" s="1" t="n"/>
      <c r="K85" s="1">
        <f>IF(B85="","",IF($C$4="Maiores notas primeiro",LARGE(Calc!$K$2:$K$301,B85),SMALL(Calc!$K$2:$K$301,B85)))</f>
        <v/>
      </c>
      <c r="L85" s="1">
        <f>IF(B85="","",MATCH(K85,Calc!$K$2:$K$301,0))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>
      <c r="A86" s="1" t="n"/>
      <c r="B86" s="28">
        <f>IF(79&lt;=COUNT(Calc!$K$2:$K$301),79,"")</f>
        <v/>
      </c>
      <c r="C86" s="23">
        <f>IF(B86="","",INDEX(Calc!$B$2:$B$301,L86))</f>
        <v/>
      </c>
      <c r="D86" s="28">
        <f>IF(B86="","",INDEX(Calc!$E$2:$E$301,L86))</f>
        <v/>
      </c>
      <c r="E86" s="28">
        <f>IF(B86="","",INDEX(Calc!$H$2:$H$301,L86))</f>
        <v/>
      </c>
      <c r="F86" s="28">
        <f>IF(B86="","",INDEX(Calc!$G$2:$G$301,L86))</f>
        <v/>
      </c>
      <c r="G86" s="24">
        <f>IF(B86="","",INDEX(Calc!$C$2:$C$301,L86))</f>
        <v/>
      </c>
      <c r="H86" s="28">
        <f>IF(G86="","",IF(G86&gt;=Q_BOA,"Boa",IF(G86&gt;=Q_ATENCAO,"Atenção","Crítica")))</f>
        <v/>
      </c>
      <c r="I86" s="1" t="n"/>
      <c r="J86" s="1" t="n"/>
      <c r="K86" s="1">
        <f>IF(B86="","",IF($C$4="Maiores notas primeiro",LARGE(Calc!$K$2:$K$301,B86),SMALL(Calc!$K$2:$K$301,B86)))</f>
        <v/>
      </c>
      <c r="L86" s="1">
        <f>IF(B86="","",MATCH(K86,Calc!$K$2:$K$301,0))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>
      <c r="A87" s="1" t="n"/>
      <c r="B87" s="28">
        <f>IF(80&lt;=COUNT(Calc!$K$2:$K$301),80,"")</f>
        <v/>
      </c>
      <c r="C87" s="23">
        <f>IF(B87="","",INDEX(Calc!$B$2:$B$301,L87))</f>
        <v/>
      </c>
      <c r="D87" s="28">
        <f>IF(B87="","",INDEX(Calc!$E$2:$E$301,L87))</f>
        <v/>
      </c>
      <c r="E87" s="28">
        <f>IF(B87="","",INDEX(Calc!$H$2:$H$301,L87))</f>
        <v/>
      </c>
      <c r="F87" s="28">
        <f>IF(B87="","",INDEX(Calc!$G$2:$G$301,L87))</f>
        <v/>
      </c>
      <c r="G87" s="24">
        <f>IF(B87="","",INDEX(Calc!$C$2:$C$301,L87))</f>
        <v/>
      </c>
      <c r="H87" s="28">
        <f>IF(G87="","",IF(G87&gt;=Q_BOA,"Boa",IF(G87&gt;=Q_ATENCAO,"Atenção","Crítica")))</f>
        <v/>
      </c>
      <c r="I87" s="1" t="n"/>
      <c r="J87" s="1" t="n"/>
      <c r="K87" s="1">
        <f>IF(B87="","",IF($C$4="Maiores notas primeiro",LARGE(Calc!$K$2:$K$301,B87),SMALL(Calc!$K$2:$K$301,B87)))</f>
        <v/>
      </c>
      <c r="L87" s="1">
        <f>IF(B87="","",MATCH(K87,Calc!$K$2:$K$301,0))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>
      <c r="A88" s="1" t="n"/>
      <c r="B88" s="28">
        <f>IF(81&lt;=COUNT(Calc!$K$2:$K$301),81,"")</f>
        <v/>
      </c>
      <c r="C88" s="23">
        <f>IF(B88="","",INDEX(Calc!$B$2:$B$301,L88))</f>
        <v/>
      </c>
      <c r="D88" s="28">
        <f>IF(B88="","",INDEX(Calc!$E$2:$E$301,L88))</f>
        <v/>
      </c>
      <c r="E88" s="28">
        <f>IF(B88="","",INDEX(Calc!$H$2:$H$301,L88))</f>
        <v/>
      </c>
      <c r="F88" s="28">
        <f>IF(B88="","",INDEX(Calc!$G$2:$G$301,L88))</f>
        <v/>
      </c>
      <c r="G88" s="24">
        <f>IF(B88="","",INDEX(Calc!$C$2:$C$301,L88))</f>
        <v/>
      </c>
      <c r="H88" s="28">
        <f>IF(G88="","",IF(G88&gt;=Q_BOA,"Boa",IF(G88&gt;=Q_ATENCAO,"Atenção","Crítica")))</f>
        <v/>
      </c>
      <c r="I88" s="1" t="n"/>
      <c r="J88" s="1" t="n"/>
      <c r="K88" s="1">
        <f>IF(B88="","",IF($C$4="Maiores notas primeiro",LARGE(Calc!$K$2:$K$301,B88),SMALL(Calc!$K$2:$K$301,B88)))</f>
        <v/>
      </c>
      <c r="L88" s="1">
        <f>IF(B88="","",MATCH(K88,Calc!$K$2:$K$301,0))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>
      <c r="A89" s="1" t="n"/>
      <c r="B89" s="28">
        <f>IF(82&lt;=COUNT(Calc!$K$2:$K$301),82,"")</f>
        <v/>
      </c>
      <c r="C89" s="23">
        <f>IF(B89="","",INDEX(Calc!$B$2:$B$301,L89))</f>
        <v/>
      </c>
      <c r="D89" s="28">
        <f>IF(B89="","",INDEX(Calc!$E$2:$E$301,L89))</f>
        <v/>
      </c>
      <c r="E89" s="28">
        <f>IF(B89="","",INDEX(Calc!$H$2:$H$301,L89))</f>
        <v/>
      </c>
      <c r="F89" s="28">
        <f>IF(B89="","",INDEX(Calc!$G$2:$G$301,L89))</f>
        <v/>
      </c>
      <c r="G89" s="24">
        <f>IF(B89="","",INDEX(Calc!$C$2:$C$301,L89))</f>
        <v/>
      </c>
      <c r="H89" s="28">
        <f>IF(G89="","",IF(G89&gt;=Q_BOA,"Boa",IF(G89&gt;=Q_ATENCAO,"Atenção","Crítica")))</f>
        <v/>
      </c>
      <c r="I89" s="1" t="n"/>
      <c r="J89" s="1" t="n"/>
      <c r="K89" s="1">
        <f>IF(B89="","",IF($C$4="Maiores notas primeiro",LARGE(Calc!$K$2:$K$301,B89),SMALL(Calc!$K$2:$K$301,B89)))</f>
        <v/>
      </c>
      <c r="L89" s="1">
        <f>IF(B89="","",MATCH(K89,Calc!$K$2:$K$301,0))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>
      <c r="A90" s="1" t="n"/>
      <c r="B90" s="28">
        <f>IF(83&lt;=COUNT(Calc!$K$2:$K$301),83,"")</f>
        <v/>
      </c>
      <c r="C90" s="23">
        <f>IF(B90="","",INDEX(Calc!$B$2:$B$301,L90))</f>
        <v/>
      </c>
      <c r="D90" s="28">
        <f>IF(B90="","",INDEX(Calc!$E$2:$E$301,L90))</f>
        <v/>
      </c>
      <c r="E90" s="28">
        <f>IF(B90="","",INDEX(Calc!$H$2:$H$301,L90))</f>
        <v/>
      </c>
      <c r="F90" s="28">
        <f>IF(B90="","",INDEX(Calc!$G$2:$G$301,L90))</f>
        <v/>
      </c>
      <c r="G90" s="24">
        <f>IF(B90="","",INDEX(Calc!$C$2:$C$301,L90))</f>
        <v/>
      </c>
      <c r="H90" s="28">
        <f>IF(G90="","",IF(G90&gt;=Q_BOA,"Boa",IF(G90&gt;=Q_ATENCAO,"Atenção","Crítica")))</f>
        <v/>
      </c>
      <c r="I90" s="1" t="n"/>
      <c r="J90" s="1" t="n"/>
      <c r="K90" s="1">
        <f>IF(B90="","",IF($C$4="Maiores notas primeiro",LARGE(Calc!$K$2:$K$301,B90),SMALL(Calc!$K$2:$K$301,B90)))</f>
        <v/>
      </c>
      <c r="L90" s="1">
        <f>IF(B90="","",MATCH(K90,Calc!$K$2:$K$301,0))</f>
        <v/>
      </c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>
      <c r="A91" s="1" t="n"/>
      <c r="B91" s="28">
        <f>IF(84&lt;=COUNT(Calc!$K$2:$K$301),84,"")</f>
        <v/>
      </c>
      <c r="C91" s="23">
        <f>IF(B91="","",INDEX(Calc!$B$2:$B$301,L91))</f>
        <v/>
      </c>
      <c r="D91" s="28">
        <f>IF(B91="","",INDEX(Calc!$E$2:$E$301,L91))</f>
        <v/>
      </c>
      <c r="E91" s="28">
        <f>IF(B91="","",INDEX(Calc!$H$2:$H$301,L91))</f>
        <v/>
      </c>
      <c r="F91" s="28">
        <f>IF(B91="","",INDEX(Calc!$G$2:$G$301,L91))</f>
        <v/>
      </c>
      <c r="G91" s="24">
        <f>IF(B91="","",INDEX(Calc!$C$2:$C$301,L91))</f>
        <v/>
      </c>
      <c r="H91" s="28">
        <f>IF(G91="","",IF(G91&gt;=Q_BOA,"Boa",IF(G91&gt;=Q_ATENCAO,"Atenção","Crítica")))</f>
        <v/>
      </c>
      <c r="I91" s="1" t="n"/>
      <c r="J91" s="1" t="n"/>
      <c r="K91" s="1">
        <f>IF(B91="","",IF($C$4="Maiores notas primeiro",LARGE(Calc!$K$2:$K$301,B91),SMALL(Calc!$K$2:$K$301,B91)))</f>
        <v/>
      </c>
      <c r="L91" s="1">
        <f>IF(B91="","",MATCH(K91,Calc!$K$2:$K$301,0))</f>
        <v/>
      </c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>
      <c r="A92" s="1" t="n"/>
      <c r="B92" s="28">
        <f>IF(85&lt;=COUNT(Calc!$K$2:$K$301),85,"")</f>
        <v/>
      </c>
      <c r="C92" s="23">
        <f>IF(B92="","",INDEX(Calc!$B$2:$B$301,L92))</f>
        <v/>
      </c>
      <c r="D92" s="28">
        <f>IF(B92="","",INDEX(Calc!$E$2:$E$301,L92))</f>
        <v/>
      </c>
      <c r="E92" s="28">
        <f>IF(B92="","",INDEX(Calc!$H$2:$H$301,L92))</f>
        <v/>
      </c>
      <c r="F92" s="28">
        <f>IF(B92="","",INDEX(Calc!$G$2:$G$301,L92))</f>
        <v/>
      </c>
      <c r="G92" s="24">
        <f>IF(B92="","",INDEX(Calc!$C$2:$C$301,L92))</f>
        <v/>
      </c>
      <c r="H92" s="28">
        <f>IF(G92="","",IF(G92&gt;=Q_BOA,"Boa",IF(G92&gt;=Q_ATENCAO,"Atenção","Crítica")))</f>
        <v/>
      </c>
      <c r="I92" s="1" t="n"/>
      <c r="J92" s="1" t="n"/>
      <c r="K92" s="1">
        <f>IF(B92="","",IF($C$4="Maiores notas primeiro",LARGE(Calc!$K$2:$K$301,B92),SMALL(Calc!$K$2:$K$301,B92)))</f>
        <v/>
      </c>
      <c r="L92" s="1">
        <f>IF(B92="","",MATCH(K92,Calc!$K$2:$K$301,0))</f>
        <v/>
      </c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>
      <c r="A93" s="1" t="n"/>
      <c r="B93" s="28">
        <f>IF(86&lt;=COUNT(Calc!$K$2:$K$301),86,"")</f>
        <v/>
      </c>
      <c r="C93" s="23">
        <f>IF(B93="","",INDEX(Calc!$B$2:$B$301,L93))</f>
        <v/>
      </c>
      <c r="D93" s="28">
        <f>IF(B93="","",INDEX(Calc!$E$2:$E$301,L93))</f>
        <v/>
      </c>
      <c r="E93" s="28">
        <f>IF(B93="","",INDEX(Calc!$H$2:$H$301,L93))</f>
        <v/>
      </c>
      <c r="F93" s="28">
        <f>IF(B93="","",INDEX(Calc!$G$2:$G$301,L93))</f>
        <v/>
      </c>
      <c r="G93" s="24">
        <f>IF(B93="","",INDEX(Calc!$C$2:$C$301,L93))</f>
        <v/>
      </c>
      <c r="H93" s="28">
        <f>IF(G93="","",IF(G93&gt;=Q_BOA,"Boa",IF(G93&gt;=Q_ATENCAO,"Atenção","Crítica")))</f>
        <v/>
      </c>
      <c r="I93" s="1" t="n"/>
      <c r="J93" s="1" t="n"/>
      <c r="K93" s="1">
        <f>IF(B93="","",IF($C$4="Maiores notas primeiro",LARGE(Calc!$K$2:$K$301,B93),SMALL(Calc!$K$2:$K$301,B93)))</f>
        <v/>
      </c>
      <c r="L93" s="1">
        <f>IF(B93="","",MATCH(K93,Calc!$K$2:$K$301,0))</f>
        <v/>
      </c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>
      <c r="A94" s="1" t="n"/>
      <c r="B94" s="28">
        <f>IF(87&lt;=COUNT(Calc!$K$2:$K$301),87,"")</f>
        <v/>
      </c>
      <c r="C94" s="23">
        <f>IF(B94="","",INDEX(Calc!$B$2:$B$301,L94))</f>
        <v/>
      </c>
      <c r="D94" s="28">
        <f>IF(B94="","",INDEX(Calc!$E$2:$E$301,L94))</f>
        <v/>
      </c>
      <c r="E94" s="28">
        <f>IF(B94="","",INDEX(Calc!$H$2:$H$301,L94))</f>
        <v/>
      </c>
      <c r="F94" s="28">
        <f>IF(B94="","",INDEX(Calc!$G$2:$G$301,L94))</f>
        <v/>
      </c>
      <c r="G94" s="24">
        <f>IF(B94="","",INDEX(Calc!$C$2:$C$301,L94))</f>
        <v/>
      </c>
      <c r="H94" s="28">
        <f>IF(G94="","",IF(G94&gt;=Q_BOA,"Boa",IF(G94&gt;=Q_ATENCAO,"Atenção","Crítica")))</f>
        <v/>
      </c>
      <c r="I94" s="1" t="n"/>
      <c r="J94" s="1" t="n"/>
      <c r="K94" s="1">
        <f>IF(B94="","",IF($C$4="Maiores notas primeiro",LARGE(Calc!$K$2:$K$301,B94),SMALL(Calc!$K$2:$K$301,B94)))</f>
        <v/>
      </c>
      <c r="L94" s="1">
        <f>IF(B94="","",MATCH(K94,Calc!$K$2:$K$301,0))</f>
        <v/>
      </c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>
      <c r="A95" s="1" t="n"/>
      <c r="B95" s="28">
        <f>IF(88&lt;=COUNT(Calc!$K$2:$K$301),88,"")</f>
        <v/>
      </c>
      <c r="C95" s="23">
        <f>IF(B95="","",INDEX(Calc!$B$2:$B$301,L95))</f>
        <v/>
      </c>
      <c r="D95" s="28">
        <f>IF(B95="","",INDEX(Calc!$E$2:$E$301,L95))</f>
        <v/>
      </c>
      <c r="E95" s="28">
        <f>IF(B95="","",INDEX(Calc!$H$2:$H$301,L95))</f>
        <v/>
      </c>
      <c r="F95" s="28">
        <f>IF(B95="","",INDEX(Calc!$G$2:$G$301,L95))</f>
        <v/>
      </c>
      <c r="G95" s="24">
        <f>IF(B95="","",INDEX(Calc!$C$2:$C$301,L95))</f>
        <v/>
      </c>
      <c r="H95" s="28">
        <f>IF(G95="","",IF(G95&gt;=Q_BOA,"Boa",IF(G95&gt;=Q_ATENCAO,"Atenção","Crítica")))</f>
        <v/>
      </c>
      <c r="I95" s="1" t="n"/>
      <c r="J95" s="1" t="n"/>
      <c r="K95" s="1">
        <f>IF(B95="","",IF($C$4="Maiores notas primeiro",LARGE(Calc!$K$2:$K$301,B95),SMALL(Calc!$K$2:$K$301,B95)))</f>
        <v/>
      </c>
      <c r="L95" s="1">
        <f>IF(B95="","",MATCH(K95,Calc!$K$2:$K$301,0))</f>
        <v/>
      </c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>
      <c r="A96" s="1" t="n"/>
      <c r="B96" s="28">
        <f>IF(89&lt;=COUNT(Calc!$K$2:$K$301),89,"")</f>
        <v/>
      </c>
      <c r="C96" s="23">
        <f>IF(B96="","",INDEX(Calc!$B$2:$B$301,L96))</f>
        <v/>
      </c>
      <c r="D96" s="28">
        <f>IF(B96="","",INDEX(Calc!$E$2:$E$301,L96))</f>
        <v/>
      </c>
      <c r="E96" s="28">
        <f>IF(B96="","",INDEX(Calc!$H$2:$H$301,L96))</f>
        <v/>
      </c>
      <c r="F96" s="28">
        <f>IF(B96="","",INDEX(Calc!$G$2:$G$301,L96))</f>
        <v/>
      </c>
      <c r="G96" s="24">
        <f>IF(B96="","",INDEX(Calc!$C$2:$C$301,L96))</f>
        <v/>
      </c>
      <c r="H96" s="28">
        <f>IF(G96="","",IF(G96&gt;=Q_BOA,"Boa",IF(G96&gt;=Q_ATENCAO,"Atenção","Crítica")))</f>
        <v/>
      </c>
      <c r="I96" s="1" t="n"/>
      <c r="J96" s="1" t="n"/>
      <c r="K96" s="1">
        <f>IF(B96="","",IF($C$4="Maiores notas primeiro",LARGE(Calc!$K$2:$K$301,B96),SMALL(Calc!$K$2:$K$301,B96)))</f>
        <v/>
      </c>
      <c r="L96" s="1">
        <f>IF(B96="","",MATCH(K96,Calc!$K$2:$K$301,0))</f>
        <v/>
      </c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>
      <c r="A97" s="1" t="n"/>
      <c r="B97" s="28">
        <f>IF(90&lt;=COUNT(Calc!$K$2:$K$301),90,"")</f>
        <v/>
      </c>
      <c r="C97" s="23">
        <f>IF(B97="","",INDEX(Calc!$B$2:$B$301,L97))</f>
        <v/>
      </c>
      <c r="D97" s="28">
        <f>IF(B97="","",INDEX(Calc!$E$2:$E$301,L97))</f>
        <v/>
      </c>
      <c r="E97" s="28">
        <f>IF(B97="","",INDEX(Calc!$H$2:$H$301,L97))</f>
        <v/>
      </c>
      <c r="F97" s="28">
        <f>IF(B97="","",INDEX(Calc!$G$2:$G$301,L97))</f>
        <v/>
      </c>
      <c r="G97" s="24">
        <f>IF(B97="","",INDEX(Calc!$C$2:$C$301,L97))</f>
        <v/>
      </c>
      <c r="H97" s="28">
        <f>IF(G97="","",IF(G97&gt;=Q_BOA,"Boa",IF(G97&gt;=Q_ATENCAO,"Atenção","Crítica")))</f>
        <v/>
      </c>
      <c r="I97" s="1" t="n"/>
      <c r="J97" s="1" t="n"/>
      <c r="K97" s="1">
        <f>IF(B97="","",IF($C$4="Maiores notas primeiro",LARGE(Calc!$K$2:$K$301,B97),SMALL(Calc!$K$2:$K$301,B97)))</f>
        <v/>
      </c>
      <c r="L97" s="1">
        <f>IF(B97="","",MATCH(K97,Calc!$K$2:$K$301,0))</f>
        <v/>
      </c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>
      <c r="A98" s="1" t="n"/>
      <c r="B98" s="28">
        <f>IF(91&lt;=COUNT(Calc!$K$2:$K$301),91,"")</f>
        <v/>
      </c>
      <c r="C98" s="23">
        <f>IF(B98="","",INDEX(Calc!$B$2:$B$301,L98))</f>
        <v/>
      </c>
      <c r="D98" s="28">
        <f>IF(B98="","",INDEX(Calc!$E$2:$E$301,L98))</f>
        <v/>
      </c>
      <c r="E98" s="28">
        <f>IF(B98="","",INDEX(Calc!$H$2:$H$301,L98))</f>
        <v/>
      </c>
      <c r="F98" s="28">
        <f>IF(B98="","",INDEX(Calc!$G$2:$G$301,L98))</f>
        <v/>
      </c>
      <c r="G98" s="24">
        <f>IF(B98="","",INDEX(Calc!$C$2:$C$301,L98))</f>
        <v/>
      </c>
      <c r="H98" s="28">
        <f>IF(G98="","",IF(G98&gt;=Q_BOA,"Boa",IF(G98&gt;=Q_ATENCAO,"Atenção","Crítica")))</f>
        <v/>
      </c>
      <c r="I98" s="1" t="n"/>
      <c r="J98" s="1" t="n"/>
      <c r="K98" s="1">
        <f>IF(B98="","",IF($C$4="Maiores notas primeiro",LARGE(Calc!$K$2:$K$301,B98),SMALL(Calc!$K$2:$K$301,B98)))</f>
        <v/>
      </c>
      <c r="L98" s="1">
        <f>IF(B98="","",MATCH(K98,Calc!$K$2:$K$301,0))</f>
        <v/>
      </c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>
      <c r="A99" s="1" t="n"/>
      <c r="B99" s="28">
        <f>IF(92&lt;=COUNT(Calc!$K$2:$K$301),92,"")</f>
        <v/>
      </c>
      <c r="C99" s="23">
        <f>IF(B99="","",INDEX(Calc!$B$2:$B$301,L99))</f>
        <v/>
      </c>
      <c r="D99" s="28">
        <f>IF(B99="","",INDEX(Calc!$E$2:$E$301,L99))</f>
        <v/>
      </c>
      <c r="E99" s="28">
        <f>IF(B99="","",INDEX(Calc!$H$2:$H$301,L99))</f>
        <v/>
      </c>
      <c r="F99" s="28">
        <f>IF(B99="","",INDEX(Calc!$G$2:$G$301,L99))</f>
        <v/>
      </c>
      <c r="G99" s="24">
        <f>IF(B99="","",INDEX(Calc!$C$2:$C$301,L99))</f>
        <v/>
      </c>
      <c r="H99" s="28">
        <f>IF(G99="","",IF(G99&gt;=Q_BOA,"Boa",IF(G99&gt;=Q_ATENCAO,"Atenção","Crítica")))</f>
        <v/>
      </c>
      <c r="I99" s="1" t="n"/>
      <c r="J99" s="1" t="n"/>
      <c r="K99" s="1">
        <f>IF(B99="","",IF($C$4="Maiores notas primeiro",LARGE(Calc!$K$2:$K$301,B99),SMALL(Calc!$K$2:$K$301,B99)))</f>
        <v/>
      </c>
      <c r="L99" s="1">
        <f>IF(B99="","",MATCH(K99,Calc!$K$2:$K$301,0))</f>
        <v/>
      </c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>
      <c r="A100" s="1" t="n"/>
      <c r="B100" s="28">
        <f>IF(93&lt;=COUNT(Calc!$K$2:$K$301),93,"")</f>
        <v/>
      </c>
      <c r="C100" s="23">
        <f>IF(B100="","",INDEX(Calc!$B$2:$B$301,L100))</f>
        <v/>
      </c>
      <c r="D100" s="28">
        <f>IF(B100="","",INDEX(Calc!$E$2:$E$301,L100))</f>
        <v/>
      </c>
      <c r="E100" s="28">
        <f>IF(B100="","",INDEX(Calc!$H$2:$H$301,L100))</f>
        <v/>
      </c>
      <c r="F100" s="28">
        <f>IF(B100="","",INDEX(Calc!$G$2:$G$301,L100))</f>
        <v/>
      </c>
      <c r="G100" s="24">
        <f>IF(B100="","",INDEX(Calc!$C$2:$C$301,L100))</f>
        <v/>
      </c>
      <c r="H100" s="28">
        <f>IF(G100="","",IF(G100&gt;=Q_BOA,"Boa",IF(G100&gt;=Q_ATENCAO,"Atenção","Crítica")))</f>
        <v/>
      </c>
      <c r="I100" s="1" t="n"/>
      <c r="J100" s="1" t="n"/>
      <c r="K100" s="1">
        <f>IF(B100="","",IF($C$4="Maiores notas primeiro",LARGE(Calc!$K$2:$K$301,B100),SMALL(Calc!$K$2:$K$301,B100)))</f>
        <v/>
      </c>
      <c r="L100" s="1">
        <f>IF(B100="","",MATCH(K100,Calc!$K$2:$K$301,0))</f>
        <v/>
      </c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>
      <c r="A101" s="1" t="n"/>
      <c r="B101" s="28">
        <f>IF(94&lt;=COUNT(Calc!$K$2:$K$301),94,"")</f>
        <v/>
      </c>
      <c r="C101" s="23">
        <f>IF(B101="","",INDEX(Calc!$B$2:$B$301,L101))</f>
        <v/>
      </c>
      <c r="D101" s="28">
        <f>IF(B101="","",INDEX(Calc!$E$2:$E$301,L101))</f>
        <v/>
      </c>
      <c r="E101" s="28">
        <f>IF(B101="","",INDEX(Calc!$H$2:$H$301,L101))</f>
        <v/>
      </c>
      <c r="F101" s="28">
        <f>IF(B101="","",INDEX(Calc!$G$2:$G$301,L101))</f>
        <v/>
      </c>
      <c r="G101" s="24">
        <f>IF(B101="","",INDEX(Calc!$C$2:$C$301,L101))</f>
        <v/>
      </c>
      <c r="H101" s="28">
        <f>IF(G101="","",IF(G101&gt;=Q_BOA,"Boa",IF(G101&gt;=Q_ATENCAO,"Atenção","Crítica")))</f>
        <v/>
      </c>
      <c r="I101" s="1" t="n"/>
      <c r="J101" s="1" t="n"/>
      <c r="K101" s="1">
        <f>IF(B101="","",IF($C$4="Maiores notas primeiro",LARGE(Calc!$K$2:$K$301,B101),SMALL(Calc!$K$2:$K$301,B101)))</f>
        <v/>
      </c>
      <c r="L101" s="1">
        <f>IF(B101="","",MATCH(K101,Calc!$K$2:$K$301,0))</f>
        <v/>
      </c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>
      <c r="A102" s="1" t="n"/>
      <c r="B102" s="28">
        <f>IF(95&lt;=COUNT(Calc!$K$2:$K$301),95,"")</f>
        <v/>
      </c>
      <c r="C102" s="23">
        <f>IF(B102="","",INDEX(Calc!$B$2:$B$301,L102))</f>
        <v/>
      </c>
      <c r="D102" s="28">
        <f>IF(B102="","",INDEX(Calc!$E$2:$E$301,L102))</f>
        <v/>
      </c>
      <c r="E102" s="28">
        <f>IF(B102="","",INDEX(Calc!$H$2:$H$301,L102))</f>
        <v/>
      </c>
      <c r="F102" s="28">
        <f>IF(B102="","",INDEX(Calc!$G$2:$G$301,L102))</f>
        <v/>
      </c>
      <c r="G102" s="24">
        <f>IF(B102="","",INDEX(Calc!$C$2:$C$301,L102))</f>
        <v/>
      </c>
      <c r="H102" s="28">
        <f>IF(G102="","",IF(G102&gt;=Q_BOA,"Boa",IF(G102&gt;=Q_ATENCAO,"Atenção","Crítica")))</f>
        <v/>
      </c>
      <c r="I102" s="1" t="n"/>
      <c r="J102" s="1" t="n"/>
      <c r="K102" s="1">
        <f>IF(B102="","",IF($C$4="Maiores notas primeiro",LARGE(Calc!$K$2:$K$301,B102),SMALL(Calc!$K$2:$K$301,B102)))</f>
        <v/>
      </c>
      <c r="L102" s="1">
        <f>IF(B102="","",MATCH(K102,Calc!$K$2:$K$301,0))</f>
        <v/>
      </c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>
      <c r="A103" s="1" t="n"/>
      <c r="B103" s="28">
        <f>IF(96&lt;=COUNT(Calc!$K$2:$K$301),96,"")</f>
        <v/>
      </c>
      <c r="C103" s="23">
        <f>IF(B103="","",INDEX(Calc!$B$2:$B$301,L103))</f>
        <v/>
      </c>
      <c r="D103" s="28">
        <f>IF(B103="","",INDEX(Calc!$E$2:$E$301,L103))</f>
        <v/>
      </c>
      <c r="E103" s="28">
        <f>IF(B103="","",INDEX(Calc!$H$2:$H$301,L103))</f>
        <v/>
      </c>
      <c r="F103" s="28">
        <f>IF(B103="","",INDEX(Calc!$G$2:$G$301,L103))</f>
        <v/>
      </c>
      <c r="G103" s="24">
        <f>IF(B103="","",INDEX(Calc!$C$2:$C$301,L103))</f>
        <v/>
      </c>
      <c r="H103" s="28">
        <f>IF(G103="","",IF(G103&gt;=Q_BOA,"Boa",IF(G103&gt;=Q_ATENCAO,"Atenção","Crítica")))</f>
        <v/>
      </c>
      <c r="I103" s="1" t="n"/>
      <c r="J103" s="1" t="n"/>
      <c r="K103" s="1">
        <f>IF(B103="","",IF($C$4="Maiores notas primeiro",LARGE(Calc!$K$2:$K$301,B103),SMALL(Calc!$K$2:$K$301,B103)))</f>
        <v/>
      </c>
      <c r="L103" s="1">
        <f>IF(B103="","",MATCH(K103,Calc!$K$2:$K$301,0))</f>
        <v/>
      </c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>
      <c r="A104" s="1" t="n"/>
      <c r="B104" s="28">
        <f>IF(97&lt;=COUNT(Calc!$K$2:$K$301),97,"")</f>
        <v/>
      </c>
      <c r="C104" s="23">
        <f>IF(B104="","",INDEX(Calc!$B$2:$B$301,L104))</f>
        <v/>
      </c>
      <c r="D104" s="28">
        <f>IF(B104="","",INDEX(Calc!$E$2:$E$301,L104))</f>
        <v/>
      </c>
      <c r="E104" s="28">
        <f>IF(B104="","",INDEX(Calc!$H$2:$H$301,L104))</f>
        <v/>
      </c>
      <c r="F104" s="28">
        <f>IF(B104="","",INDEX(Calc!$G$2:$G$301,L104))</f>
        <v/>
      </c>
      <c r="G104" s="24">
        <f>IF(B104="","",INDEX(Calc!$C$2:$C$301,L104))</f>
        <v/>
      </c>
      <c r="H104" s="28">
        <f>IF(G104="","",IF(G104&gt;=Q_BOA,"Boa",IF(G104&gt;=Q_ATENCAO,"Atenção","Crítica")))</f>
        <v/>
      </c>
      <c r="I104" s="1" t="n"/>
      <c r="J104" s="1" t="n"/>
      <c r="K104" s="1">
        <f>IF(B104="","",IF($C$4="Maiores notas primeiro",LARGE(Calc!$K$2:$K$301,B104),SMALL(Calc!$K$2:$K$301,B104)))</f>
        <v/>
      </c>
      <c r="L104" s="1">
        <f>IF(B104="","",MATCH(K104,Calc!$K$2:$K$301,0))</f>
        <v/>
      </c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>
      <c r="A105" s="1" t="n"/>
      <c r="B105" s="28">
        <f>IF(98&lt;=COUNT(Calc!$K$2:$K$301),98,"")</f>
        <v/>
      </c>
      <c r="C105" s="23">
        <f>IF(B105="","",INDEX(Calc!$B$2:$B$301,L105))</f>
        <v/>
      </c>
      <c r="D105" s="28">
        <f>IF(B105="","",INDEX(Calc!$E$2:$E$301,L105))</f>
        <v/>
      </c>
      <c r="E105" s="28">
        <f>IF(B105="","",INDEX(Calc!$H$2:$H$301,L105))</f>
        <v/>
      </c>
      <c r="F105" s="28">
        <f>IF(B105="","",INDEX(Calc!$G$2:$G$301,L105))</f>
        <v/>
      </c>
      <c r="G105" s="24">
        <f>IF(B105="","",INDEX(Calc!$C$2:$C$301,L105))</f>
        <v/>
      </c>
      <c r="H105" s="28">
        <f>IF(G105="","",IF(G105&gt;=Q_BOA,"Boa",IF(G105&gt;=Q_ATENCAO,"Atenção","Crítica")))</f>
        <v/>
      </c>
      <c r="I105" s="1" t="n"/>
      <c r="J105" s="1" t="n"/>
      <c r="K105" s="1">
        <f>IF(B105="","",IF($C$4="Maiores notas primeiro",LARGE(Calc!$K$2:$K$301,B105),SMALL(Calc!$K$2:$K$301,B105)))</f>
        <v/>
      </c>
      <c r="L105" s="1">
        <f>IF(B105="","",MATCH(K105,Calc!$K$2:$K$301,0))</f>
        <v/>
      </c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>
      <c r="A106" s="1" t="n"/>
      <c r="B106" s="28">
        <f>IF(99&lt;=COUNT(Calc!$K$2:$K$301),99,"")</f>
        <v/>
      </c>
      <c r="C106" s="23">
        <f>IF(B106="","",INDEX(Calc!$B$2:$B$301,L106))</f>
        <v/>
      </c>
      <c r="D106" s="28">
        <f>IF(B106="","",INDEX(Calc!$E$2:$E$301,L106))</f>
        <v/>
      </c>
      <c r="E106" s="28">
        <f>IF(B106="","",INDEX(Calc!$H$2:$H$301,L106))</f>
        <v/>
      </c>
      <c r="F106" s="28">
        <f>IF(B106="","",INDEX(Calc!$G$2:$G$301,L106))</f>
        <v/>
      </c>
      <c r="G106" s="24">
        <f>IF(B106="","",INDEX(Calc!$C$2:$C$301,L106))</f>
        <v/>
      </c>
      <c r="H106" s="28">
        <f>IF(G106="","",IF(G106&gt;=Q_BOA,"Boa",IF(G106&gt;=Q_ATENCAO,"Atenção","Crítica")))</f>
        <v/>
      </c>
      <c r="I106" s="1" t="n"/>
      <c r="J106" s="1" t="n"/>
      <c r="K106" s="1">
        <f>IF(B106="","",IF($C$4="Maiores notas primeiro",LARGE(Calc!$K$2:$K$301,B106),SMALL(Calc!$K$2:$K$301,B106)))</f>
        <v/>
      </c>
      <c r="L106" s="1">
        <f>IF(B106="","",MATCH(K106,Calc!$K$2:$K$301,0))</f>
        <v/>
      </c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>
      <c r="A107" s="1" t="n"/>
      <c r="B107" s="28">
        <f>IF(100&lt;=COUNT(Calc!$K$2:$K$301),100,"")</f>
        <v/>
      </c>
      <c r="C107" s="23">
        <f>IF(B107="","",INDEX(Calc!$B$2:$B$301,L107))</f>
        <v/>
      </c>
      <c r="D107" s="28">
        <f>IF(B107="","",INDEX(Calc!$E$2:$E$301,L107))</f>
        <v/>
      </c>
      <c r="E107" s="28">
        <f>IF(B107="","",INDEX(Calc!$H$2:$H$301,L107))</f>
        <v/>
      </c>
      <c r="F107" s="28">
        <f>IF(B107="","",INDEX(Calc!$G$2:$G$301,L107))</f>
        <v/>
      </c>
      <c r="G107" s="24">
        <f>IF(B107="","",INDEX(Calc!$C$2:$C$301,L107))</f>
        <v/>
      </c>
      <c r="H107" s="28">
        <f>IF(G107="","",IF(G107&gt;=Q_BOA,"Boa",IF(G107&gt;=Q_ATENCAO,"Atenção","Crítica")))</f>
        <v/>
      </c>
      <c r="I107" s="1" t="n"/>
      <c r="J107" s="1" t="n"/>
      <c r="K107" s="1">
        <f>IF(B107="","",IF($C$4="Maiores notas primeiro",LARGE(Calc!$K$2:$K$301,B107),SMALL(Calc!$K$2:$K$301,B107)))</f>
        <v/>
      </c>
      <c r="L107" s="1">
        <f>IF(B107="","",MATCH(K107,Calc!$K$2:$K$301,0))</f>
        <v/>
      </c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  <row r="108">
      <c r="A108" s="1" t="n"/>
      <c r="B108" s="28">
        <f>IF(101&lt;=COUNT(Calc!$K$2:$K$301),101,"")</f>
        <v/>
      </c>
      <c r="C108" s="23">
        <f>IF(B108="","",INDEX(Calc!$B$2:$B$301,L108))</f>
        <v/>
      </c>
      <c r="D108" s="28">
        <f>IF(B108="","",INDEX(Calc!$E$2:$E$301,L108))</f>
        <v/>
      </c>
      <c r="E108" s="28">
        <f>IF(B108="","",INDEX(Calc!$H$2:$H$301,L108))</f>
        <v/>
      </c>
      <c r="F108" s="28">
        <f>IF(B108="","",INDEX(Calc!$G$2:$G$301,L108))</f>
        <v/>
      </c>
      <c r="G108" s="24">
        <f>IF(B108="","",INDEX(Calc!$C$2:$C$301,L108))</f>
        <v/>
      </c>
      <c r="H108" s="28">
        <f>IF(G108="","",IF(G108&gt;=Q_BOA,"Boa",IF(G108&gt;=Q_ATENCAO,"Atenção","Crítica")))</f>
        <v/>
      </c>
      <c r="I108" s="1" t="n"/>
      <c r="J108" s="1" t="n"/>
      <c r="K108" s="1">
        <f>IF(B108="","",IF($C$4="Maiores notas primeiro",LARGE(Calc!$K$2:$K$301,B108),SMALL(Calc!$K$2:$K$301,B108)))</f>
        <v/>
      </c>
      <c r="L108" s="1">
        <f>IF(B108="","",MATCH(K108,Calc!$K$2:$K$301,0))</f>
        <v/>
      </c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</row>
    <row r="109">
      <c r="A109" s="1" t="n"/>
      <c r="B109" s="28">
        <f>IF(102&lt;=COUNT(Calc!$K$2:$K$301),102,"")</f>
        <v/>
      </c>
      <c r="C109" s="23">
        <f>IF(B109="","",INDEX(Calc!$B$2:$B$301,L109))</f>
        <v/>
      </c>
      <c r="D109" s="28">
        <f>IF(B109="","",INDEX(Calc!$E$2:$E$301,L109))</f>
        <v/>
      </c>
      <c r="E109" s="28">
        <f>IF(B109="","",INDEX(Calc!$H$2:$H$301,L109))</f>
        <v/>
      </c>
      <c r="F109" s="28">
        <f>IF(B109="","",INDEX(Calc!$G$2:$G$301,L109))</f>
        <v/>
      </c>
      <c r="G109" s="24">
        <f>IF(B109="","",INDEX(Calc!$C$2:$C$301,L109))</f>
        <v/>
      </c>
      <c r="H109" s="28">
        <f>IF(G109="","",IF(G109&gt;=Q_BOA,"Boa",IF(G109&gt;=Q_ATENCAO,"Atenção","Crítica")))</f>
        <v/>
      </c>
      <c r="I109" s="1" t="n"/>
      <c r="J109" s="1" t="n"/>
      <c r="K109" s="1">
        <f>IF(B109="","",IF($C$4="Maiores notas primeiro",LARGE(Calc!$K$2:$K$301,B109),SMALL(Calc!$K$2:$K$301,B109)))</f>
        <v/>
      </c>
      <c r="L109" s="1">
        <f>IF(B109="","",MATCH(K109,Calc!$K$2:$K$301,0))</f>
        <v/>
      </c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</row>
    <row r="110">
      <c r="A110" s="1" t="n"/>
      <c r="B110" s="28">
        <f>IF(103&lt;=COUNT(Calc!$K$2:$K$301),103,"")</f>
        <v/>
      </c>
      <c r="C110" s="23">
        <f>IF(B110="","",INDEX(Calc!$B$2:$B$301,L110))</f>
        <v/>
      </c>
      <c r="D110" s="28">
        <f>IF(B110="","",INDEX(Calc!$E$2:$E$301,L110))</f>
        <v/>
      </c>
      <c r="E110" s="28">
        <f>IF(B110="","",INDEX(Calc!$H$2:$H$301,L110))</f>
        <v/>
      </c>
      <c r="F110" s="28">
        <f>IF(B110="","",INDEX(Calc!$G$2:$G$301,L110))</f>
        <v/>
      </c>
      <c r="G110" s="24">
        <f>IF(B110="","",INDEX(Calc!$C$2:$C$301,L110))</f>
        <v/>
      </c>
      <c r="H110" s="28">
        <f>IF(G110="","",IF(G110&gt;=Q_BOA,"Boa",IF(G110&gt;=Q_ATENCAO,"Atenção","Crítica")))</f>
        <v/>
      </c>
      <c r="I110" s="1" t="n"/>
      <c r="J110" s="1" t="n"/>
      <c r="K110" s="1">
        <f>IF(B110="","",IF($C$4="Maiores notas primeiro",LARGE(Calc!$K$2:$K$301,B110),SMALL(Calc!$K$2:$K$301,B110)))</f>
        <v/>
      </c>
      <c r="L110" s="1">
        <f>IF(B110="","",MATCH(K110,Calc!$K$2:$K$301,0))</f>
        <v/>
      </c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</row>
    <row r="111">
      <c r="A111" s="1" t="n"/>
      <c r="B111" s="28">
        <f>IF(104&lt;=COUNT(Calc!$K$2:$K$301),104,"")</f>
        <v/>
      </c>
      <c r="C111" s="23">
        <f>IF(B111="","",INDEX(Calc!$B$2:$B$301,L111))</f>
        <v/>
      </c>
      <c r="D111" s="28">
        <f>IF(B111="","",INDEX(Calc!$E$2:$E$301,L111))</f>
        <v/>
      </c>
      <c r="E111" s="28">
        <f>IF(B111="","",INDEX(Calc!$H$2:$H$301,L111))</f>
        <v/>
      </c>
      <c r="F111" s="28">
        <f>IF(B111="","",INDEX(Calc!$G$2:$G$301,L111))</f>
        <v/>
      </c>
      <c r="G111" s="24">
        <f>IF(B111="","",INDEX(Calc!$C$2:$C$301,L111))</f>
        <v/>
      </c>
      <c r="H111" s="28">
        <f>IF(G111="","",IF(G111&gt;=Q_BOA,"Boa",IF(G111&gt;=Q_ATENCAO,"Atenção","Crítica")))</f>
        <v/>
      </c>
      <c r="I111" s="1" t="n"/>
      <c r="J111" s="1" t="n"/>
      <c r="K111" s="1">
        <f>IF(B111="","",IF($C$4="Maiores notas primeiro",LARGE(Calc!$K$2:$K$301,B111),SMALL(Calc!$K$2:$K$301,B111)))</f>
        <v/>
      </c>
      <c r="L111" s="1">
        <f>IF(B111="","",MATCH(K111,Calc!$K$2:$K$301,0))</f>
        <v/>
      </c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</row>
    <row r="112">
      <c r="A112" s="1" t="n"/>
      <c r="B112" s="28">
        <f>IF(105&lt;=COUNT(Calc!$K$2:$K$301),105,"")</f>
        <v/>
      </c>
      <c r="C112" s="23">
        <f>IF(B112="","",INDEX(Calc!$B$2:$B$301,L112))</f>
        <v/>
      </c>
      <c r="D112" s="28">
        <f>IF(B112="","",INDEX(Calc!$E$2:$E$301,L112))</f>
        <v/>
      </c>
      <c r="E112" s="28">
        <f>IF(B112="","",INDEX(Calc!$H$2:$H$301,L112))</f>
        <v/>
      </c>
      <c r="F112" s="28">
        <f>IF(B112="","",INDEX(Calc!$G$2:$G$301,L112))</f>
        <v/>
      </c>
      <c r="G112" s="24">
        <f>IF(B112="","",INDEX(Calc!$C$2:$C$301,L112))</f>
        <v/>
      </c>
      <c r="H112" s="28">
        <f>IF(G112="","",IF(G112&gt;=Q_BOA,"Boa",IF(G112&gt;=Q_ATENCAO,"Atenção","Crítica")))</f>
        <v/>
      </c>
      <c r="I112" s="1" t="n"/>
      <c r="J112" s="1" t="n"/>
      <c r="K112" s="1">
        <f>IF(B112="","",IF($C$4="Maiores notas primeiro",LARGE(Calc!$K$2:$K$301,B112),SMALL(Calc!$K$2:$K$301,B112)))</f>
        <v/>
      </c>
      <c r="L112" s="1">
        <f>IF(B112="","",MATCH(K112,Calc!$K$2:$K$301,0))</f>
        <v/>
      </c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</row>
    <row r="113">
      <c r="A113" s="1" t="n"/>
      <c r="B113" s="28">
        <f>IF(106&lt;=COUNT(Calc!$K$2:$K$301),106,"")</f>
        <v/>
      </c>
      <c r="C113" s="23">
        <f>IF(B113="","",INDEX(Calc!$B$2:$B$301,L113))</f>
        <v/>
      </c>
      <c r="D113" s="28">
        <f>IF(B113="","",INDEX(Calc!$E$2:$E$301,L113))</f>
        <v/>
      </c>
      <c r="E113" s="28">
        <f>IF(B113="","",INDEX(Calc!$H$2:$H$301,L113))</f>
        <v/>
      </c>
      <c r="F113" s="28">
        <f>IF(B113="","",INDEX(Calc!$G$2:$G$301,L113))</f>
        <v/>
      </c>
      <c r="G113" s="24">
        <f>IF(B113="","",INDEX(Calc!$C$2:$C$301,L113))</f>
        <v/>
      </c>
      <c r="H113" s="28">
        <f>IF(G113="","",IF(G113&gt;=Q_BOA,"Boa",IF(G113&gt;=Q_ATENCAO,"Atenção","Crítica")))</f>
        <v/>
      </c>
      <c r="I113" s="1" t="n"/>
      <c r="J113" s="1" t="n"/>
      <c r="K113" s="1">
        <f>IF(B113="","",IF($C$4="Maiores notas primeiro",LARGE(Calc!$K$2:$K$301,B113),SMALL(Calc!$K$2:$K$301,B113)))</f>
        <v/>
      </c>
      <c r="L113" s="1">
        <f>IF(B113="","",MATCH(K113,Calc!$K$2:$K$301,0))</f>
        <v/>
      </c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</row>
    <row r="114">
      <c r="A114" s="1" t="n"/>
      <c r="B114" s="28">
        <f>IF(107&lt;=COUNT(Calc!$K$2:$K$301),107,"")</f>
        <v/>
      </c>
      <c r="C114" s="23">
        <f>IF(B114="","",INDEX(Calc!$B$2:$B$301,L114))</f>
        <v/>
      </c>
      <c r="D114" s="28">
        <f>IF(B114="","",INDEX(Calc!$E$2:$E$301,L114))</f>
        <v/>
      </c>
      <c r="E114" s="28">
        <f>IF(B114="","",INDEX(Calc!$H$2:$H$301,L114))</f>
        <v/>
      </c>
      <c r="F114" s="28">
        <f>IF(B114="","",INDEX(Calc!$G$2:$G$301,L114))</f>
        <v/>
      </c>
      <c r="G114" s="24">
        <f>IF(B114="","",INDEX(Calc!$C$2:$C$301,L114))</f>
        <v/>
      </c>
      <c r="H114" s="28">
        <f>IF(G114="","",IF(G114&gt;=Q_BOA,"Boa",IF(G114&gt;=Q_ATENCAO,"Atenção","Crítica")))</f>
        <v/>
      </c>
      <c r="I114" s="1" t="n"/>
      <c r="J114" s="1" t="n"/>
      <c r="K114" s="1">
        <f>IF(B114="","",IF($C$4="Maiores notas primeiro",LARGE(Calc!$K$2:$K$301,B114),SMALL(Calc!$K$2:$K$301,B114)))</f>
        <v/>
      </c>
      <c r="L114" s="1">
        <f>IF(B114="","",MATCH(K114,Calc!$K$2:$K$301,0))</f>
        <v/>
      </c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</row>
    <row r="115">
      <c r="A115" s="1" t="n"/>
      <c r="B115" s="28">
        <f>IF(108&lt;=COUNT(Calc!$K$2:$K$301),108,"")</f>
        <v/>
      </c>
      <c r="C115" s="23">
        <f>IF(B115="","",INDEX(Calc!$B$2:$B$301,L115))</f>
        <v/>
      </c>
      <c r="D115" s="28">
        <f>IF(B115="","",INDEX(Calc!$E$2:$E$301,L115))</f>
        <v/>
      </c>
      <c r="E115" s="28">
        <f>IF(B115="","",INDEX(Calc!$H$2:$H$301,L115))</f>
        <v/>
      </c>
      <c r="F115" s="28">
        <f>IF(B115="","",INDEX(Calc!$G$2:$G$301,L115))</f>
        <v/>
      </c>
      <c r="G115" s="24">
        <f>IF(B115="","",INDEX(Calc!$C$2:$C$301,L115))</f>
        <v/>
      </c>
      <c r="H115" s="28">
        <f>IF(G115="","",IF(G115&gt;=Q_BOA,"Boa",IF(G115&gt;=Q_ATENCAO,"Atenção","Crítica")))</f>
        <v/>
      </c>
      <c r="I115" s="1" t="n"/>
      <c r="J115" s="1" t="n"/>
      <c r="K115" s="1">
        <f>IF(B115="","",IF($C$4="Maiores notas primeiro",LARGE(Calc!$K$2:$K$301,B115),SMALL(Calc!$K$2:$K$301,B115)))</f>
        <v/>
      </c>
      <c r="L115" s="1">
        <f>IF(B115="","",MATCH(K115,Calc!$K$2:$K$301,0))</f>
        <v/>
      </c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</row>
    <row r="116">
      <c r="A116" s="1" t="n"/>
      <c r="B116" s="28">
        <f>IF(109&lt;=COUNT(Calc!$K$2:$K$301),109,"")</f>
        <v/>
      </c>
      <c r="C116" s="23">
        <f>IF(B116="","",INDEX(Calc!$B$2:$B$301,L116))</f>
        <v/>
      </c>
      <c r="D116" s="28">
        <f>IF(B116="","",INDEX(Calc!$E$2:$E$301,L116))</f>
        <v/>
      </c>
      <c r="E116" s="28">
        <f>IF(B116="","",INDEX(Calc!$H$2:$H$301,L116))</f>
        <v/>
      </c>
      <c r="F116" s="28">
        <f>IF(B116="","",INDEX(Calc!$G$2:$G$301,L116))</f>
        <v/>
      </c>
      <c r="G116" s="24">
        <f>IF(B116="","",INDEX(Calc!$C$2:$C$301,L116))</f>
        <v/>
      </c>
      <c r="H116" s="28">
        <f>IF(G116="","",IF(G116&gt;=Q_BOA,"Boa",IF(G116&gt;=Q_ATENCAO,"Atenção","Crítica")))</f>
        <v/>
      </c>
      <c r="I116" s="1" t="n"/>
      <c r="J116" s="1" t="n"/>
      <c r="K116" s="1">
        <f>IF(B116="","",IF($C$4="Maiores notas primeiro",LARGE(Calc!$K$2:$K$301,B116),SMALL(Calc!$K$2:$K$301,B116)))</f>
        <v/>
      </c>
      <c r="L116" s="1">
        <f>IF(B116="","",MATCH(K116,Calc!$K$2:$K$301,0))</f>
        <v/>
      </c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</row>
    <row r="117">
      <c r="A117" s="1" t="n"/>
      <c r="B117" s="28">
        <f>IF(110&lt;=COUNT(Calc!$K$2:$K$301),110,"")</f>
        <v/>
      </c>
      <c r="C117" s="23">
        <f>IF(B117="","",INDEX(Calc!$B$2:$B$301,L117))</f>
        <v/>
      </c>
      <c r="D117" s="28">
        <f>IF(B117="","",INDEX(Calc!$E$2:$E$301,L117))</f>
        <v/>
      </c>
      <c r="E117" s="28">
        <f>IF(B117="","",INDEX(Calc!$H$2:$H$301,L117))</f>
        <v/>
      </c>
      <c r="F117" s="28">
        <f>IF(B117="","",INDEX(Calc!$G$2:$G$301,L117))</f>
        <v/>
      </c>
      <c r="G117" s="24">
        <f>IF(B117="","",INDEX(Calc!$C$2:$C$301,L117))</f>
        <v/>
      </c>
      <c r="H117" s="28">
        <f>IF(G117="","",IF(G117&gt;=Q_BOA,"Boa",IF(G117&gt;=Q_ATENCAO,"Atenção","Crítica")))</f>
        <v/>
      </c>
      <c r="I117" s="1" t="n"/>
      <c r="J117" s="1" t="n"/>
      <c r="K117" s="1">
        <f>IF(B117="","",IF($C$4="Maiores notas primeiro",LARGE(Calc!$K$2:$K$301,B117),SMALL(Calc!$K$2:$K$301,B117)))</f>
        <v/>
      </c>
      <c r="L117" s="1">
        <f>IF(B117="","",MATCH(K117,Calc!$K$2:$K$301,0))</f>
        <v/>
      </c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</row>
    <row r="118">
      <c r="A118" s="1" t="n"/>
      <c r="B118" s="28">
        <f>IF(111&lt;=COUNT(Calc!$K$2:$K$301),111,"")</f>
        <v/>
      </c>
      <c r="C118" s="23">
        <f>IF(B118="","",INDEX(Calc!$B$2:$B$301,L118))</f>
        <v/>
      </c>
      <c r="D118" s="28">
        <f>IF(B118="","",INDEX(Calc!$E$2:$E$301,L118))</f>
        <v/>
      </c>
      <c r="E118" s="28">
        <f>IF(B118="","",INDEX(Calc!$H$2:$H$301,L118))</f>
        <v/>
      </c>
      <c r="F118" s="28">
        <f>IF(B118="","",INDEX(Calc!$G$2:$G$301,L118))</f>
        <v/>
      </c>
      <c r="G118" s="24">
        <f>IF(B118="","",INDEX(Calc!$C$2:$C$301,L118))</f>
        <v/>
      </c>
      <c r="H118" s="28">
        <f>IF(G118="","",IF(G118&gt;=Q_BOA,"Boa",IF(G118&gt;=Q_ATENCAO,"Atenção","Crítica")))</f>
        <v/>
      </c>
      <c r="I118" s="1" t="n"/>
      <c r="J118" s="1" t="n"/>
      <c r="K118" s="1">
        <f>IF(B118="","",IF($C$4="Maiores notas primeiro",LARGE(Calc!$K$2:$K$301,B118),SMALL(Calc!$K$2:$K$301,B118)))</f>
        <v/>
      </c>
      <c r="L118" s="1">
        <f>IF(B118="","",MATCH(K118,Calc!$K$2:$K$301,0))</f>
        <v/>
      </c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</row>
    <row r="119">
      <c r="A119" s="1" t="n"/>
      <c r="B119" s="28">
        <f>IF(112&lt;=COUNT(Calc!$K$2:$K$301),112,"")</f>
        <v/>
      </c>
      <c r="C119" s="23">
        <f>IF(B119="","",INDEX(Calc!$B$2:$B$301,L119))</f>
        <v/>
      </c>
      <c r="D119" s="28">
        <f>IF(B119="","",INDEX(Calc!$E$2:$E$301,L119))</f>
        <v/>
      </c>
      <c r="E119" s="28">
        <f>IF(B119="","",INDEX(Calc!$H$2:$H$301,L119))</f>
        <v/>
      </c>
      <c r="F119" s="28">
        <f>IF(B119="","",INDEX(Calc!$G$2:$G$301,L119))</f>
        <v/>
      </c>
      <c r="G119" s="24">
        <f>IF(B119="","",INDEX(Calc!$C$2:$C$301,L119))</f>
        <v/>
      </c>
      <c r="H119" s="28">
        <f>IF(G119="","",IF(G119&gt;=Q_BOA,"Boa",IF(G119&gt;=Q_ATENCAO,"Atenção","Crítica")))</f>
        <v/>
      </c>
      <c r="I119" s="1" t="n"/>
      <c r="J119" s="1" t="n"/>
      <c r="K119" s="1">
        <f>IF(B119="","",IF($C$4="Maiores notas primeiro",LARGE(Calc!$K$2:$K$301,B119),SMALL(Calc!$K$2:$K$301,B119)))</f>
        <v/>
      </c>
      <c r="L119" s="1">
        <f>IF(B119="","",MATCH(K119,Calc!$K$2:$K$301,0))</f>
        <v/>
      </c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</row>
    <row r="120">
      <c r="A120" s="1" t="n"/>
      <c r="B120" s="28">
        <f>IF(113&lt;=COUNT(Calc!$K$2:$K$301),113,"")</f>
        <v/>
      </c>
      <c r="C120" s="23">
        <f>IF(B120="","",INDEX(Calc!$B$2:$B$301,L120))</f>
        <v/>
      </c>
      <c r="D120" s="28">
        <f>IF(B120="","",INDEX(Calc!$E$2:$E$301,L120))</f>
        <v/>
      </c>
      <c r="E120" s="28">
        <f>IF(B120="","",INDEX(Calc!$H$2:$H$301,L120))</f>
        <v/>
      </c>
      <c r="F120" s="28">
        <f>IF(B120="","",INDEX(Calc!$G$2:$G$301,L120))</f>
        <v/>
      </c>
      <c r="G120" s="24">
        <f>IF(B120="","",INDEX(Calc!$C$2:$C$301,L120))</f>
        <v/>
      </c>
      <c r="H120" s="28">
        <f>IF(G120="","",IF(G120&gt;=Q_BOA,"Boa",IF(G120&gt;=Q_ATENCAO,"Atenção","Crítica")))</f>
        <v/>
      </c>
      <c r="I120" s="1" t="n"/>
      <c r="J120" s="1" t="n"/>
      <c r="K120" s="1">
        <f>IF(B120="","",IF($C$4="Maiores notas primeiro",LARGE(Calc!$K$2:$K$301,B120),SMALL(Calc!$K$2:$K$301,B120)))</f>
        <v/>
      </c>
      <c r="L120" s="1">
        <f>IF(B120="","",MATCH(K120,Calc!$K$2:$K$301,0))</f>
        <v/>
      </c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</row>
    <row r="121">
      <c r="A121" s="1" t="n"/>
      <c r="B121" s="28">
        <f>IF(114&lt;=COUNT(Calc!$K$2:$K$301),114,"")</f>
        <v/>
      </c>
      <c r="C121" s="23">
        <f>IF(B121="","",INDEX(Calc!$B$2:$B$301,L121))</f>
        <v/>
      </c>
      <c r="D121" s="28">
        <f>IF(B121="","",INDEX(Calc!$E$2:$E$301,L121))</f>
        <v/>
      </c>
      <c r="E121" s="28">
        <f>IF(B121="","",INDEX(Calc!$H$2:$H$301,L121))</f>
        <v/>
      </c>
      <c r="F121" s="28">
        <f>IF(B121="","",INDEX(Calc!$G$2:$G$301,L121))</f>
        <v/>
      </c>
      <c r="G121" s="24">
        <f>IF(B121="","",INDEX(Calc!$C$2:$C$301,L121))</f>
        <v/>
      </c>
      <c r="H121" s="28">
        <f>IF(G121="","",IF(G121&gt;=Q_BOA,"Boa",IF(G121&gt;=Q_ATENCAO,"Atenção","Crítica")))</f>
        <v/>
      </c>
      <c r="I121" s="1" t="n"/>
      <c r="J121" s="1" t="n"/>
      <c r="K121" s="1">
        <f>IF(B121="","",IF($C$4="Maiores notas primeiro",LARGE(Calc!$K$2:$K$301,B121),SMALL(Calc!$K$2:$K$301,B121)))</f>
        <v/>
      </c>
      <c r="L121" s="1">
        <f>IF(B121="","",MATCH(K121,Calc!$K$2:$K$301,0))</f>
        <v/>
      </c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</row>
    <row r="122">
      <c r="A122" s="1" t="n"/>
      <c r="B122" s="28">
        <f>IF(115&lt;=COUNT(Calc!$K$2:$K$301),115,"")</f>
        <v/>
      </c>
      <c r="C122" s="23">
        <f>IF(B122="","",INDEX(Calc!$B$2:$B$301,L122))</f>
        <v/>
      </c>
      <c r="D122" s="28">
        <f>IF(B122="","",INDEX(Calc!$E$2:$E$301,L122))</f>
        <v/>
      </c>
      <c r="E122" s="28">
        <f>IF(B122="","",INDEX(Calc!$H$2:$H$301,L122))</f>
        <v/>
      </c>
      <c r="F122" s="28">
        <f>IF(B122="","",INDEX(Calc!$G$2:$G$301,L122))</f>
        <v/>
      </c>
      <c r="G122" s="24">
        <f>IF(B122="","",INDEX(Calc!$C$2:$C$301,L122))</f>
        <v/>
      </c>
      <c r="H122" s="28">
        <f>IF(G122="","",IF(G122&gt;=Q_BOA,"Boa",IF(G122&gt;=Q_ATENCAO,"Atenção","Crítica")))</f>
        <v/>
      </c>
      <c r="I122" s="1" t="n"/>
      <c r="J122" s="1" t="n"/>
      <c r="K122" s="1">
        <f>IF(B122="","",IF($C$4="Maiores notas primeiro",LARGE(Calc!$K$2:$K$301,B122),SMALL(Calc!$K$2:$K$301,B122)))</f>
        <v/>
      </c>
      <c r="L122" s="1">
        <f>IF(B122="","",MATCH(K122,Calc!$K$2:$K$301,0))</f>
        <v/>
      </c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</row>
    <row r="123">
      <c r="A123" s="1" t="n"/>
      <c r="B123" s="28">
        <f>IF(116&lt;=COUNT(Calc!$K$2:$K$301),116,"")</f>
        <v/>
      </c>
      <c r="C123" s="23">
        <f>IF(B123="","",INDEX(Calc!$B$2:$B$301,L123))</f>
        <v/>
      </c>
      <c r="D123" s="28">
        <f>IF(B123="","",INDEX(Calc!$E$2:$E$301,L123))</f>
        <v/>
      </c>
      <c r="E123" s="28">
        <f>IF(B123="","",INDEX(Calc!$H$2:$H$301,L123))</f>
        <v/>
      </c>
      <c r="F123" s="28">
        <f>IF(B123="","",INDEX(Calc!$G$2:$G$301,L123))</f>
        <v/>
      </c>
      <c r="G123" s="24">
        <f>IF(B123="","",INDEX(Calc!$C$2:$C$301,L123))</f>
        <v/>
      </c>
      <c r="H123" s="28">
        <f>IF(G123="","",IF(G123&gt;=Q_BOA,"Boa",IF(G123&gt;=Q_ATENCAO,"Atenção","Crítica")))</f>
        <v/>
      </c>
      <c r="I123" s="1" t="n"/>
      <c r="J123" s="1" t="n"/>
      <c r="K123" s="1">
        <f>IF(B123="","",IF($C$4="Maiores notas primeiro",LARGE(Calc!$K$2:$K$301,B123),SMALL(Calc!$K$2:$K$301,B123)))</f>
        <v/>
      </c>
      <c r="L123" s="1">
        <f>IF(B123="","",MATCH(K123,Calc!$K$2:$K$301,0))</f>
        <v/>
      </c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</row>
    <row r="124">
      <c r="A124" s="1" t="n"/>
      <c r="B124" s="28">
        <f>IF(117&lt;=COUNT(Calc!$K$2:$K$301),117,"")</f>
        <v/>
      </c>
      <c r="C124" s="23">
        <f>IF(B124="","",INDEX(Calc!$B$2:$B$301,L124))</f>
        <v/>
      </c>
      <c r="D124" s="28">
        <f>IF(B124="","",INDEX(Calc!$E$2:$E$301,L124))</f>
        <v/>
      </c>
      <c r="E124" s="28">
        <f>IF(B124="","",INDEX(Calc!$H$2:$H$301,L124))</f>
        <v/>
      </c>
      <c r="F124" s="28">
        <f>IF(B124="","",INDEX(Calc!$G$2:$G$301,L124))</f>
        <v/>
      </c>
      <c r="G124" s="24">
        <f>IF(B124="","",INDEX(Calc!$C$2:$C$301,L124))</f>
        <v/>
      </c>
      <c r="H124" s="28">
        <f>IF(G124="","",IF(G124&gt;=Q_BOA,"Boa",IF(G124&gt;=Q_ATENCAO,"Atenção","Crítica")))</f>
        <v/>
      </c>
      <c r="I124" s="1" t="n"/>
      <c r="J124" s="1" t="n"/>
      <c r="K124" s="1">
        <f>IF(B124="","",IF($C$4="Maiores notas primeiro",LARGE(Calc!$K$2:$K$301,B124),SMALL(Calc!$K$2:$K$301,B124)))</f>
        <v/>
      </c>
      <c r="L124" s="1">
        <f>IF(B124="","",MATCH(K124,Calc!$K$2:$K$301,0))</f>
        <v/>
      </c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</row>
    <row r="125">
      <c r="A125" s="1" t="n"/>
      <c r="B125" s="28">
        <f>IF(118&lt;=COUNT(Calc!$K$2:$K$301),118,"")</f>
        <v/>
      </c>
      <c r="C125" s="23">
        <f>IF(B125="","",INDEX(Calc!$B$2:$B$301,L125))</f>
        <v/>
      </c>
      <c r="D125" s="28">
        <f>IF(B125="","",INDEX(Calc!$E$2:$E$301,L125))</f>
        <v/>
      </c>
      <c r="E125" s="28">
        <f>IF(B125="","",INDEX(Calc!$H$2:$H$301,L125))</f>
        <v/>
      </c>
      <c r="F125" s="28">
        <f>IF(B125="","",INDEX(Calc!$G$2:$G$301,L125))</f>
        <v/>
      </c>
      <c r="G125" s="24">
        <f>IF(B125="","",INDEX(Calc!$C$2:$C$301,L125))</f>
        <v/>
      </c>
      <c r="H125" s="28">
        <f>IF(G125="","",IF(G125&gt;=Q_BOA,"Boa",IF(G125&gt;=Q_ATENCAO,"Atenção","Crítica")))</f>
        <v/>
      </c>
      <c r="I125" s="1" t="n"/>
      <c r="J125" s="1" t="n"/>
      <c r="K125" s="1">
        <f>IF(B125="","",IF($C$4="Maiores notas primeiro",LARGE(Calc!$K$2:$K$301,B125),SMALL(Calc!$K$2:$K$301,B125)))</f>
        <v/>
      </c>
      <c r="L125" s="1">
        <f>IF(B125="","",MATCH(K125,Calc!$K$2:$K$301,0))</f>
        <v/>
      </c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</row>
    <row r="126">
      <c r="A126" s="1" t="n"/>
      <c r="B126" s="28">
        <f>IF(119&lt;=COUNT(Calc!$K$2:$K$301),119,"")</f>
        <v/>
      </c>
      <c r="C126" s="23">
        <f>IF(B126="","",INDEX(Calc!$B$2:$B$301,L126))</f>
        <v/>
      </c>
      <c r="D126" s="28">
        <f>IF(B126="","",INDEX(Calc!$E$2:$E$301,L126))</f>
        <v/>
      </c>
      <c r="E126" s="28">
        <f>IF(B126="","",INDEX(Calc!$H$2:$H$301,L126))</f>
        <v/>
      </c>
      <c r="F126" s="28">
        <f>IF(B126="","",INDEX(Calc!$G$2:$G$301,L126))</f>
        <v/>
      </c>
      <c r="G126" s="24">
        <f>IF(B126="","",INDEX(Calc!$C$2:$C$301,L126))</f>
        <v/>
      </c>
      <c r="H126" s="28">
        <f>IF(G126="","",IF(G126&gt;=Q_BOA,"Boa",IF(G126&gt;=Q_ATENCAO,"Atenção","Crítica")))</f>
        <v/>
      </c>
      <c r="I126" s="1" t="n"/>
      <c r="J126" s="1" t="n"/>
      <c r="K126" s="1">
        <f>IF(B126="","",IF($C$4="Maiores notas primeiro",LARGE(Calc!$K$2:$K$301,B126),SMALL(Calc!$K$2:$K$301,B126)))</f>
        <v/>
      </c>
      <c r="L126" s="1">
        <f>IF(B126="","",MATCH(K126,Calc!$K$2:$K$301,0))</f>
        <v/>
      </c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</row>
    <row r="127">
      <c r="A127" s="1" t="n"/>
      <c r="B127" s="28">
        <f>IF(120&lt;=COUNT(Calc!$K$2:$K$301),120,"")</f>
        <v/>
      </c>
      <c r="C127" s="23">
        <f>IF(B127="","",INDEX(Calc!$B$2:$B$301,L127))</f>
        <v/>
      </c>
      <c r="D127" s="28">
        <f>IF(B127="","",INDEX(Calc!$E$2:$E$301,L127))</f>
        <v/>
      </c>
      <c r="E127" s="28">
        <f>IF(B127="","",INDEX(Calc!$H$2:$H$301,L127))</f>
        <v/>
      </c>
      <c r="F127" s="28">
        <f>IF(B127="","",INDEX(Calc!$G$2:$G$301,L127))</f>
        <v/>
      </c>
      <c r="G127" s="24">
        <f>IF(B127="","",INDEX(Calc!$C$2:$C$301,L127))</f>
        <v/>
      </c>
      <c r="H127" s="28">
        <f>IF(G127="","",IF(G127&gt;=Q_BOA,"Boa",IF(G127&gt;=Q_ATENCAO,"Atenção","Crítica")))</f>
        <v/>
      </c>
      <c r="I127" s="1" t="n"/>
      <c r="J127" s="1" t="n"/>
      <c r="K127" s="1">
        <f>IF(B127="","",IF($C$4="Maiores notas primeiro",LARGE(Calc!$K$2:$K$301,B127),SMALL(Calc!$K$2:$K$301,B127)))</f>
        <v/>
      </c>
      <c r="L127" s="1">
        <f>IF(B127="","",MATCH(K127,Calc!$K$2:$K$301,0))</f>
        <v/>
      </c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</row>
  </sheetData>
  <mergeCells count="2">
    <mergeCell ref="B1:B3"/>
    <mergeCell ref="C4:D4"/>
  </mergeCells>
  <conditionalFormatting sqref="H8:H127">
    <cfRule type="expression" priority="1" dxfId="3">
      <formula>H8="Boa"</formula>
    </cfRule>
    <cfRule type="expression" priority="2" dxfId="4">
      <formula>H8="Atenção"</formula>
    </cfRule>
    <cfRule type="expression" priority="3" dxfId="5">
      <formula>H8="Crítica"</formula>
    </cfRule>
  </conditionalFormatting>
  <dataValidations count="3">
    <dataValidation sqref="C4" showDropDown="0" showInputMessage="0" showErrorMessage="0" allowBlank="0" type="list">
      <formula1>"Maiores notas primeiro,Menores notas primeiro"</formula1>
    </dataValidation>
    <dataValidation sqref="F4" showDropDown="0" showInputMessage="0" showErrorMessage="0" allowBlank="0" type="list">
      <formula1>"Todas,Norte,Nordeste,Centro-Oeste,Sudeste,Sul,Não localizada"</formula1>
    </dataValidation>
    <dataValidation sqref="I4" showDropDown="0" showInputMessage="0" showErrorMessage="0" allowBlank="0" type="list">
      <formula1>"Todos,Estadual,Pública,Federal,Municipal,Privada,Técnica"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U301"/>
  <sheetViews>
    <sheetView showGridLines="0" tabSelected="0" workbookViewId="0">
      <selection activeCell="A1" sqref="A1"/>
    </sheetView>
  </sheetViews>
  <sheetFormatPr baseColWidth="8" defaultRowHeight="15"/>
  <cols>
    <col width="40" customWidth="1" min="2" max="2"/>
    <col width="36" customWidth="1" min="14" max="14"/>
    <col width="40" customWidth="1" min="15" max="15"/>
    <col width="50" customWidth="1" min="17" max="17"/>
  </cols>
  <sheetData>
    <row r="1">
      <c r="A1" s="20" t="inlineStr">
        <is>
          <t>#</t>
        </is>
      </c>
      <c r="B1" s="20" t="inlineStr">
        <is>
          <t>Escola</t>
        </is>
      </c>
      <c r="C1" s="20" t="inlineStr">
        <is>
          <t>Nota</t>
        </is>
      </c>
      <c r="D1" s="20" t="inlineStr">
        <is>
          <t>Avaliações</t>
        </is>
      </c>
      <c r="E1" s="20" t="inlineStr">
        <is>
          <t>Tipo</t>
        </is>
      </c>
      <c r="F1" s="20" t="inlineStr">
        <is>
          <t>Tam. cidade</t>
        </is>
      </c>
      <c r="G1" s="20" t="inlineStr">
        <is>
          <t>UF</t>
        </is>
      </c>
      <c r="H1" s="20" t="inlineStr">
        <is>
          <t>Região</t>
        </is>
      </c>
      <c r="I1" s="20" t="inlineStr">
        <is>
          <t>Localização</t>
        </is>
      </c>
      <c r="J1" s="20" t="inlineStr"/>
      <c r="K1" s="20" t="inlineStr">
        <is>
          <t>Chave filtro</t>
        </is>
      </c>
      <c r="M1" s="20" t="inlineStr">
        <is>
          <t>#</t>
        </is>
      </c>
      <c r="N1" s="20" t="inlineStr">
        <is>
          <t>Curso</t>
        </is>
      </c>
      <c r="O1" s="20" t="inlineStr">
        <is>
          <t>Escola</t>
        </is>
      </c>
      <c r="P1" s="20" t="inlineStr">
        <is>
          <t>Nota</t>
        </is>
      </c>
      <c r="Q1" s="20" t="inlineStr">
        <is>
          <t>Rótulo</t>
        </is>
      </c>
      <c r="R1" s="20" t="inlineStr">
        <is>
          <t>Chave</t>
        </is>
      </c>
      <c r="T1" s="20" t="inlineStr">
        <is>
          <t>Nota</t>
        </is>
      </c>
      <c r="U1" s="20" t="inlineStr">
        <is>
          <t>Escolas</t>
        </is>
      </c>
    </row>
    <row r="2">
      <c r="A2" t="n">
        <v>1</v>
      </c>
      <c r="B2">
        <f>IF(A2&gt;ROWS(avaliacoes_qualidade[escola]),"",INDEX(avaliacoes_qualidade[escola],A2))</f>
        <v/>
      </c>
      <c r="C2">
        <f>IF(B2="","",INDEX(avaliacoes_qualidade[Nota média],A2))</f>
        <v/>
      </c>
      <c r="D2">
        <f>IF(B2="","",INDEX(avaliacoes_qualidade[Avaliações],A2))</f>
        <v/>
      </c>
      <c r="E2">
        <f>IF(B2="","",IFERROR(INDEX(escolas[Column1.tipo],MATCH(B2,escolas[Column1.nome],0)),"—"))</f>
        <v/>
      </c>
      <c r="F2">
        <f>IF(B2="","",SUMPRODUCT(MAX((RIGHT(B2,LEN(enderecos_escolas[cidade])+1)=" "&amp;enderecos_escolas[cidade])*LEN(enderecos_escolas[cidade]))))</f>
        <v/>
      </c>
      <c r="G2">
        <f>IF(B2="","",IFERROR(INDEX(enderecos_escolas[estado],MATCH(1,INDEX((RIGHT(B2,LEN(enderecos_escolas[cidade])+1)=" "&amp;enderecos_escolas[cidade])*(LEN(enderecos_escolas[cidade])=F2),0),0)),"—"))</f>
        <v/>
      </c>
      <c r="H2">
        <f>IF(B2="","",IFERROR(VLOOKUP(G2,'Parâmetros'!$A$5:$B$31,2,FALSE),"Não localizada"))</f>
        <v/>
      </c>
      <c r="I2">
        <f>IF(B2="","",IFERROR(INDEX(enderecos_escolas[tipoLocalizacao],MATCH(1,INDEX((RIGHT(B2,LEN(enderecos_escolas[cidade])+1)=" "&amp;enderecos_escolas[cidade])*(LEN(enderecos_escolas[cidade])=F2),0),0)),"—"))</f>
        <v/>
      </c>
      <c r="K2">
        <f>IF(C2="","",IF(AND(OR('Ranking Escolas'!$F$4="Todas",H2='Ranking Escolas'!$F$4),OR('Ranking Escolas'!$I$4="Todos",E2='Ranking Escolas'!$I$4)),C2+(1000-A2)/10000000,""))</f>
        <v/>
      </c>
      <c r="M2" t="n">
        <v>1</v>
      </c>
      <c r="N2">
        <f>IF(M2&gt;ROWS(avaliacoes_cursos[curso]),"",INDEX(avaliacoes_cursos[curso],M2))</f>
        <v/>
      </c>
      <c r="O2">
        <f>IF(N2="","",INDEX(avaliacoes_cursos[escola],M2))</f>
        <v/>
      </c>
      <c r="P2">
        <f>IF(N2="","",INDEX(avaliacoes_cursos[Nota média],M2))</f>
        <v/>
      </c>
      <c r="Q2">
        <f>IF(N2="","",IF(COUNTIF(avaliacoes_cursos[curso],N2)&gt;1,N2&amp;" — "&amp;O2,N2))</f>
        <v/>
      </c>
      <c r="R2">
        <f>IF(P2="","",P2+(1000-M2)/10000000)</f>
        <v/>
      </c>
      <c r="T2" t="n">
        <v>1</v>
      </c>
      <c r="U2">
        <f>COUNTIFS($C$2:$C$301,"&gt;="&amp;1-0.5,$C$2:$C$301,"&lt;"&amp;1+0.5)</f>
        <v/>
      </c>
    </row>
    <row r="3">
      <c r="A3" t="n">
        <v>2</v>
      </c>
      <c r="B3">
        <f>IF(A3&gt;ROWS(avaliacoes_qualidade[escola]),"",INDEX(avaliacoes_qualidade[escola],A3))</f>
        <v/>
      </c>
      <c r="C3">
        <f>IF(B3="","",INDEX(avaliacoes_qualidade[Nota média],A3))</f>
        <v/>
      </c>
      <c r="D3">
        <f>IF(B3="","",INDEX(avaliacoes_qualidade[Avaliações],A3))</f>
        <v/>
      </c>
      <c r="E3">
        <f>IF(B3="","",IFERROR(INDEX(escolas[Column1.tipo],MATCH(B3,escolas[Column1.nome],0)),"—"))</f>
        <v/>
      </c>
      <c r="F3">
        <f>IF(B3="","",SUMPRODUCT(MAX((RIGHT(B3,LEN(enderecos_escolas[cidade])+1)=" "&amp;enderecos_escolas[cidade])*LEN(enderecos_escolas[cidade]))))</f>
        <v/>
      </c>
      <c r="G3">
        <f>IF(B3="","",IFERROR(INDEX(enderecos_escolas[estado],MATCH(1,INDEX((RIGHT(B3,LEN(enderecos_escolas[cidade])+1)=" "&amp;enderecos_escolas[cidade])*(LEN(enderecos_escolas[cidade])=F3),0),0)),"—"))</f>
        <v/>
      </c>
      <c r="H3">
        <f>IF(B3="","",IFERROR(VLOOKUP(G3,'Parâmetros'!$A$5:$B$31,2,FALSE),"Não localizada"))</f>
        <v/>
      </c>
      <c r="I3">
        <f>IF(B3="","",IFERROR(INDEX(enderecos_escolas[tipoLocalizacao],MATCH(1,INDEX((RIGHT(B3,LEN(enderecos_escolas[cidade])+1)=" "&amp;enderecos_escolas[cidade])*(LEN(enderecos_escolas[cidade])=F3),0),0)),"—"))</f>
        <v/>
      </c>
      <c r="K3">
        <f>IF(C3="","",IF(AND(OR('Ranking Escolas'!$F$4="Todas",H3='Ranking Escolas'!$F$4),OR('Ranking Escolas'!$I$4="Todos",E3='Ranking Escolas'!$I$4)),C3+(1000-A3)/10000000,""))</f>
        <v/>
      </c>
      <c r="M3" t="n">
        <v>2</v>
      </c>
      <c r="N3">
        <f>IF(M3&gt;ROWS(avaliacoes_cursos[curso]),"",INDEX(avaliacoes_cursos[curso],M3))</f>
        <v/>
      </c>
      <c r="O3">
        <f>IF(N3="","",INDEX(avaliacoes_cursos[escola],M3))</f>
        <v/>
      </c>
      <c r="P3">
        <f>IF(N3="","",INDEX(avaliacoes_cursos[Nota média],M3))</f>
        <v/>
      </c>
      <c r="Q3">
        <f>IF(N3="","",IF(COUNTIF(avaliacoes_cursos[curso],N3)&gt;1,N3&amp;" — "&amp;O3,N3))</f>
        <v/>
      </c>
      <c r="R3">
        <f>IF(P3="","",P3+(1000-M3)/10000000)</f>
        <v/>
      </c>
      <c r="T3" t="n">
        <v>2</v>
      </c>
      <c r="U3">
        <f>COUNTIFS($C$2:$C$301,"&gt;="&amp;2-0.5,$C$2:$C$301,"&lt;"&amp;2+0.5)</f>
        <v/>
      </c>
    </row>
    <row r="4">
      <c r="A4" t="n">
        <v>3</v>
      </c>
      <c r="B4">
        <f>IF(A4&gt;ROWS(avaliacoes_qualidade[escola]),"",INDEX(avaliacoes_qualidade[escola],A4))</f>
        <v/>
      </c>
      <c r="C4">
        <f>IF(B4="","",INDEX(avaliacoes_qualidade[Nota média],A4))</f>
        <v/>
      </c>
      <c r="D4">
        <f>IF(B4="","",INDEX(avaliacoes_qualidade[Avaliações],A4))</f>
        <v/>
      </c>
      <c r="E4">
        <f>IF(B4="","",IFERROR(INDEX(escolas[Column1.tipo],MATCH(B4,escolas[Column1.nome],0)),"—"))</f>
        <v/>
      </c>
      <c r="F4">
        <f>IF(B4="","",SUMPRODUCT(MAX((RIGHT(B4,LEN(enderecos_escolas[cidade])+1)=" "&amp;enderecos_escolas[cidade])*LEN(enderecos_escolas[cidade]))))</f>
        <v/>
      </c>
      <c r="G4">
        <f>IF(B4="","",IFERROR(INDEX(enderecos_escolas[estado],MATCH(1,INDEX((RIGHT(B4,LEN(enderecos_escolas[cidade])+1)=" "&amp;enderecos_escolas[cidade])*(LEN(enderecos_escolas[cidade])=F4),0),0)),"—"))</f>
        <v/>
      </c>
      <c r="H4">
        <f>IF(B4="","",IFERROR(VLOOKUP(G4,'Parâmetros'!$A$5:$B$31,2,FALSE),"Não localizada"))</f>
        <v/>
      </c>
      <c r="I4">
        <f>IF(B4="","",IFERROR(INDEX(enderecos_escolas[tipoLocalizacao],MATCH(1,INDEX((RIGHT(B4,LEN(enderecos_escolas[cidade])+1)=" "&amp;enderecos_escolas[cidade])*(LEN(enderecos_escolas[cidade])=F4),0),0)),"—"))</f>
        <v/>
      </c>
      <c r="K4">
        <f>IF(C4="","",IF(AND(OR('Ranking Escolas'!$F$4="Todas",H4='Ranking Escolas'!$F$4),OR('Ranking Escolas'!$I$4="Todos",E4='Ranking Escolas'!$I$4)),C4+(1000-A4)/10000000,""))</f>
        <v/>
      </c>
      <c r="M4" t="n">
        <v>3</v>
      </c>
      <c r="N4">
        <f>IF(M4&gt;ROWS(avaliacoes_cursos[curso]),"",INDEX(avaliacoes_cursos[curso],M4))</f>
        <v/>
      </c>
      <c r="O4">
        <f>IF(N4="","",INDEX(avaliacoes_cursos[escola],M4))</f>
        <v/>
      </c>
      <c r="P4">
        <f>IF(N4="","",INDEX(avaliacoes_cursos[Nota média],M4))</f>
        <v/>
      </c>
      <c r="Q4">
        <f>IF(N4="","",IF(COUNTIF(avaliacoes_cursos[curso],N4)&gt;1,N4&amp;" — "&amp;O4,N4))</f>
        <v/>
      </c>
      <c r="R4">
        <f>IF(P4="","",P4+(1000-M4)/10000000)</f>
        <v/>
      </c>
      <c r="T4" t="n">
        <v>3</v>
      </c>
      <c r="U4">
        <f>COUNTIFS($C$2:$C$301,"&gt;="&amp;3-0.5,$C$2:$C$301,"&lt;"&amp;3+0.5)</f>
        <v/>
      </c>
    </row>
    <row r="5">
      <c r="A5" t="n">
        <v>4</v>
      </c>
      <c r="B5">
        <f>IF(A5&gt;ROWS(avaliacoes_qualidade[escola]),"",INDEX(avaliacoes_qualidade[escola],A5))</f>
        <v/>
      </c>
      <c r="C5">
        <f>IF(B5="","",INDEX(avaliacoes_qualidade[Nota média],A5))</f>
        <v/>
      </c>
      <c r="D5">
        <f>IF(B5="","",INDEX(avaliacoes_qualidade[Avaliações],A5))</f>
        <v/>
      </c>
      <c r="E5">
        <f>IF(B5="","",IFERROR(INDEX(escolas[Column1.tipo],MATCH(B5,escolas[Column1.nome],0)),"—"))</f>
        <v/>
      </c>
      <c r="F5">
        <f>IF(B5="","",SUMPRODUCT(MAX((RIGHT(B5,LEN(enderecos_escolas[cidade])+1)=" "&amp;enderecos_escolas[cidade])*LEN(enderecos_escolas[cidade]))))</f>
        <v/>
      </c>
      <c r="G5">
        <f>IF(B5="","",IFERROR(INDEX(enderecos_escolas[estado],MATCH(1,INDEX((RIGHT(B5,LEN(enderecos_escolas[cidade])+1)=" "&amp;enderecos_escolas[cidade])*(LEN(enderecos_escolas[cidade])=F5),0),0)),"—"))</f>
        <v/>
      </c>
      <c r="H5">
        <f>IF(B5="","",IFERROR(VLOOKUP(G5,'Parâmetros'!$A$5:$B$31,2,FALSE),"Não localizada"))</f>
        <v/>
      </c>
      <c r="I5">
        <f>IF(B5="","",IFERROR(INDEX(enderecos_escolas[tipoLocalizacao],MATCH(1,INDEX((RIGHT(B5,LEN(enderecos_escolas[cidade])+1)=" "&amp;enderecos_escolas[cidade])*(LEN(enderecos_escolas[cidade])=F5),0),0)),"—"))</f>
        <v/>
      </c>
      <c r="K5">
        <f>IF(C5="","",IF(AND(OR('Ranking Escolas'!$F$4="Todas",H5='Ranking Escolas'!$F$4),OR('Ranking Escolas'!$I$4="Todos",E5='Ranking Escolas'!$I$4)),C5+(1000-A5)/10000000,""))</f>
        <v/>
      </c>
      <c r="M5" t="n">
        <v>4</v>
      </c>
      <c r="N5">
        <f>IF(M5&gt;ROWS(avaliacoes_cursos[curso]),"",INDEX(avaliacoes_cursos[curso],M5))</f>
        <v/>
      </c>
      <c r="O5">
        <f>IF(N5="","",INDEX(avaliacoes_cursos[escola],M5))</f>
        <v/>
      </c>
      <c r="P5">
        <f>IF(N5="","",INDEX(avaliacoes_cursos[Nota média],M5))</f>
        <v/>
      </c>
      <c r="Q5">
        <f>IF(N5="","",IF(COUNTIF(avaliacoes_cursos[curso],N5)&gt;1,N5&amp;" — "&amp;O5,N5))</f>
        <v/>
      </c>
      <c r="R5">
        <f>IF(P5="","",P5+(1000-M5)/10000000)</f>
        <v/>
      </c>
      <c r="T5" t="n">
        <v>4</v>
      </c>
      <c r="U5">
        <f>COUNTIFS($C$2:$C$301,"&gt;="&amp;4-0.5,$C$2:$C$301,"&lt;"&amp;4+0.5)</f>
        <v/>
      </c>
    </row>
    <row r="6">
      <c r="A6" t="n">
        <v>5</v>
      </c>
      <c r="B6">
        <f>IF(A6&gt;ROWS(avaliacoes_qualidade[escola]),"",INDEX(avaliacoes_qualidade[escola],A6))</f>
        <v/>
      </c>
      <c r="C6">
        <f>IF(B6="","",INDEX(avaliacoes_qualidade[Nota média],A6))</f>
        <v/>
      </c>
      <c r="D6">
        <f>IF(B6="","",INDEX(avaliacoes_qualidade[Avaliações],A6))</f>
        <v/>
      </c>
      <c r="E6">
        <f>IF(B6="","",IFERROR(INDEX(escolas[Column1.tipo],MATCH(B6,escolas[Column1.nome],0)),"—"))</f>
        <v/>
      </c>
      <c r="F6">
        <f>IF(B6="","",SUMPRODUCT(MAX((RIGHT(B6,LEN(enderecos_escolas[cidade])+1)=" "&amp;enderecos_escolas[cidade])*LEN(enderecos_escolas[cidade]))))</f>
        <v/>
      </c>
      <c r="G6">
        <f>IF(B6="","",IFERROR(INDEX(enderecos_escolas[estado],MATCH(1,INDEX((RIGHT(B6,LEN(enderecos_escolas[cidade])+1)=" "&amp;enderecos_escolas[cidade])*(LEN(enderecos_escolas[cidade])=F6),0),0)),"—"))</f>
        <v/>
      </c>
      <c r="H6">
        <f>IF(B6="","",IFERROR(VLOOKUP(G6,'Parâmetros'!$A$5:$B$31,2,FALSE),"Não localizada"))</f>
        <v/>
      </c>
      <c r="I6">
        <f>IF(B6="","",IFERROR(INDEX(enderecos_escolas[tipoLocalizacao],MATCH(1,INDEX((RIGHT(B6,LEN(enderecos_escolas[cidade])+1)=" "&amp;enderecos_escolas[cidade])*(LEN(enderecos_escolas[cidade])=F6),0),0)),"—"))</f>
        <v/>
      </c>
      <c r="K6">
        <f>IF(C6="","",IF(AND(OR('Ranking Escolas'!$F$4="Todas",H6='Ranking Escolas'!$F$4),OR('Ranking Escolas'!$I$4="Todos",E6='Ranking Escolas'!$I$4)),C6+(1000-A6)/10000000,""))</f>
        <v/>
      </c>
      <c r="M6" t="n">
        <v>5</v>
      </c>
      <c r="N6">
        <f>IF(M6&gt;ROWS(avaliacoes_cursos[curso]),"",INDEX(avaliacoes_cursos[curso],M6))</f>
        <v/>
      </c>
      <c r="O6">
        <f>IF(N6="","",INDEX(avaliacoes_cursos[escola],M6))</f>
        <v/>
      </c>
      <c r="P6">
        <f>IF(N6="","",INDEX(avaliacoes_cursos[Nota média],M6))</f>
        <v/>
      </c>
      <c r="Q6">
        <f>IF(N6="","",IF(COUNTIF(avaliacoes_cursos[curso],N6)&gt;1,N6&amp;" — "&amp;O6,N6))</f>
        <v/>
      </c>
      <c r="R6">
        <f>IF(P6="","",P6+(1000-M6)/10000000)</f>
        <v/>
      </c>
      <c r="T6" t="n">
        <v>5</v>
      </c>
      <c r="U6">
        <f>COUNTIFS($C$2:$C$301,"&gt;="&amp;4.5)</f>
        <v/>
      </c>
    </row>
    <row r="7">
      <c r="A7" t="n">
        <v>6</v>
      </c>
      <c r="B7">
        <f>IF(A7&gt;ROWS(avaliacoes_qualidade[escola]),"",INDEX(avaliacoes_qualidade[escola],A7))</f>
        <v/>
      </c>
      <c r="C7">
        <f>IF(B7="","",INDEX(avaliacoes_qualidade[Nota média],A7))</f>
        <v/>
      </c>
      <c r="D7">
        <f>IF(B7="","",INDEX(avaliacoes_qualidade[Avaliações],A7))</f>
        <v/>
      </c>
      <c r="E7">
        <f>IF(B7="","",IFERROR(INDEX(escolas[Column1.tipo],MATCH(B7,escolas[Column1.nome],0)),"—"))</f>
        <v/>
      </c>
      <c r="F7">
        <f>IF(B7="","",SUMPRODUCT(MAX((RIGHT(B7,LEN(enderecos_escolas[cidade])+1)=" "&amp;enderecos_escolas[cidade])*LEN(enderecos_escolas[cidade]))))</f>
        <v/>
      </c>
      <c r="G7">
        <f>IF(B7="","",IFERROR(INDEX(enderecos_escolas[estado],MATCH(1,INDEX((RIGHT(B7,LEN(enderecos_escolas[cidade])+1)=" "&amp;enderecos_escolas[cidade])*(LEN(enderecos_escolas[cidade])=F7),0),0)),"—"))</f>
        <v/>
      </c>
      <c r="H7">
        <f>IF(B7="","",IFERROR(VLOOKUP(G7,'Parâmetros'!$A$5:$B$31,2,FALSE),"Não localizada"))</f>
        <v/>
      </c>
      <c r="I7">
        <f>IF(B7="","",IFERROR(INDEX(enderecos_escolas[tipoLocalizacao],MATCH(1,INDEX((RIGHT(B7,LEN(enderecos_escolas[cidade])+1)=" "&amp;enderecos_escolas[cidade])*(LEN(enderecos_escolas[cidade])=F7),0),0)),"—"))</f>
        <v/>
      </c>
      <c r="K7">
        <f>IF(C7="","",IF(AND(OR('Ranking Escolas'!$F$4="Todas",H7='Ranking Escolas'!$F$4),OR('Ranking Escolas'!$I$4="Todos",E7='Ranking Escolas'!$I$4)),C7+(1000-A7)/10000000,""))</f>
        <v/>
      </c>
      <c r="M7" t="n">
        <v>6</v>
      </c>
      <c r="N7">
        <f>IF(M7&gt;ROWS(avaliacoes_cursos[curso]),"",INDEX(avaliacoes_cursos[curso],M7))</f>
        <v/>
      </c>
      <c r="O7">
        <f>IF(N7="","",INDEX(avaliacoes_cursos[escola],M7))</f>
        <v/>
      </c>
      <c r="P7">
        <f>IF(N7="","",INDEX(avaliacoes_cursos[Nota média],M7))</f>
        <v/>
      </c>
      <c r="Q7">
        <f>IF(N7="","",IF(COUNTIF(avaliacoes_cursos[curso],N7)&gt;1,N7&amp;" — "&amp;O7,N7))</f>
        <v/>
      </c>
      <c r="R7">
        <f>IF(P7="","",P7+(1000-M7)/10000000)</f>
        <v/>
      </c>
    </row>
    <row r="8">
      <c r="A8" t="n">
        <v>7</v>
      </c>
      <c r="B8">
        <f>IF(A8&gt;ROWS(avaliacoes_qualidade[escola]),"",INDEX(avaliacoes_qualidade[escola],A8))</f>
        <v/>
      </c>
      <c r="C8">
        <f>IF(B8="","",INDEX(avaliacoes_qualidade[Nota média],A8))</f>
        <v/>
      </c>
      <c r="D8">
        <f>IF(B8="","",INDEX(avaliacoes_qualidade[Avaliações],A8))</f>
        <v/>
      </c>
      <c r="E8">
        <f>IF(B8="","",IFERROR(INDEX(escolas[Column1.tipo],MATCH(B8,escolas[Column1.nome],0)),"—"))</f>
        <v/>
      </c>
      <c r="F8">
        <f>IF(B8="","",SUMPRODUCT(MAX((RIGHT(B8,LEN(enderecos_escolas[cidade])+1)=" "&amp;enderecos_escolas[cidade])*LEN(enderecos_escolas[cidade]))))</f>
        <v/>
      </c>
      <c r="G8">
        <f>IF(B8="","",IFERROR(INDEX(enderecos_escolas[estado],MATCH(1,INDEX((RIGHT(B8,LEN(enderecos_escolas[cidade])+1)=" "&amp;enderecos_escolas[cidade])*(LEN(enderecos_escolas[cidade])=F8),0),0)),"—"))</f>
        <v/>
      </c>
      <c r="H8">
        <f>IF(B8="","",IFERROR(VLOOKUP(G8,'Parâmetros'!$A$5:$B$31,2,FALSE),"Não localizada"))</f>
        <v/>
      </c>
      <c r="I8">
        <f>IF(B8="","",IFERROR(INDEX(enderecos_escolas[tipoLocalizacao],MATCH(1,INDEX((RIGHT(B8,LEN(enderecos_escolas[cidade])+1)=" "&amp;enderecos_escolas[cidade])*(LEN(enderecos_escolas[cidade])=F8),0),0)),"—"))</f>
        <v/>
      </c>
      <c r="K8">
        <f>IF(C8="","",IF(AND(OR('Ranking Escolas'!$F$4="Todas",H8='Ranking Escolas'!$F$4),OR('Ranking Escolas'!$I$4="Todos",E8='Ranking Escolas'!$I$4)),C8+(1000-A8)/10000000,""))</f>
        <v/>
      </c>
      <c r="M8" t="n">
        <v>7</v>
      </c>
      <c r="N8">
        <f>IF(M8&gt;ROWS(avaliacoes_cursos[curso]),"",INDEX(avaliacoes_cursos[curso],M8))</f>
        <v/>
      </c>
      <c r="O8">
        <f>IF(N8="","",INDEX(avaliacoes_cursos[escola],M8))</f>
        <v/>
      </c>
      <c r="P8">
        <f>IF(N8="","",INDEX(avaliacoes_cursos[Nota média],M8))</f>
        <v/>
      </c>
      <c r="Q8">
        <f>IF(N8="","",IF(COUNTIF(avaliacoes_cursos[curso],N8)&gt;1,N8&amp;" — "&amp;O8,N8))</f>
        <v/>
      </c>
      <c r="R8">
        <f>IF(P8="","",P8+(1000-M8)/10000000)</f>
        <v/>
      </c>
    </row>
    <row r="9">
      <c r="A9" t="n">
        <v>8</v>
      </c>
      <c r="B9">
        <f>IF(A9&gt;ROWS(avaliacoes_qualidade[escola]),"",INDEX(avaliacoes_qualidade[escola],A9))</f>
        <v/>
      </c>
      <c r="C9">
        <f>IF(B9="","",INDEX(avaliacoes_qualidade[Nota média],A9))</f>
        <v/>
      </c>
      <c r="D9">
        <f>IF(B9="","",INDEX(avaliacoes_qualidade[Avaliações],A9))</f>
        <v/>
      </c>
      <c r="E9">
        <f>IF(B9="","",IFERROR(INDEX(escolas[Column1.tipo],MATCH(B9,escolas[Column1.nome],0)),"—"))</f>
        <v/>
      </c>
      <c r="F9">
        <f>IF(B9="","",SUMPRODUCT(MAX((RIGHT(B9,LEN(enderecos_escolas[cidade])+1)=" "&amp;enderecos_escolas[cidade])*LEN(enderecos_escolas[cidade]))))</f>
        <v/>
      </c>
      <c r="G9">
        <f>IF(B9="","",IFERROR(INDEX(enderecos_escolas[estado],MATCH(1,INDEX((RIGHT(B9,LEN(enderecos_escolas[cidade])+1)=" "&amp;enderecos_escolas[cidade])*(LEN(enderecos_escolas[cidade])=F9),0),0)),"—"))</f>
        <v/>
      </c>
      <c r="H9">
        <f>IF(B9="","",IFERROR(VLOOKUP(G9,'Parâmetros'!$A$5:$B$31,2,FALSE),"Não localizada"))</f>
        <v/>
      </c>
      <c r="I9">
        <f>IF(B9="","",IFERROR(INDEX(enderecos_escolas[tipoLocalizacao],MATCH(1,INDEX((RIGHT(B9,LEN(enderecos_escolas[cidade])+1)=" "&amp;enderecos_escolas[cidade])*(LEN(enderecos_escolas[cidade])=F9),0),0)),"—"))</f>
        <v/>
      </c>
      <c r="K9">
        <f>IF(C9="","",IF(AND(OR('Ranking Escolas'!$F$4="Todas",H9='Ranking Escolas'!$F$4),OR('Ranking Escolas'!$I$4="Todos",E9='Ranking Escolas'!$I$4)),C9+(1000-A9)/10000000,""))</f>
        <v/>
      </c>
      <c r="M9" t="n">
        <v>8</v>
      </c>
      <c r="N9">
        <f>IF(M9&gt;ROWS(avaliacoes_cursos[curso]),"",INDEX(avaliacoes_cursos[curso],M9))</f>
        <v/>
      </c>
      <c r="O9">
        <f>IF(N9="","",INDEX(avaliacoes_cursos[escola],M9))</f>
        <v/>
      </c>
      <c r="P9">
        <f>IF(N9="","",INDEX(avaliacoes_cursos[Nota média],M9))</f>
        <v/>
      </c>
      <c r="Q9">
        <f>IF(N9="","",IF(COUNTIF(avaliacoes_cursos[curso],N9)&gt;1,N9&amp;" — "&amp;O9,N9))</f>
        <v/>
      </c>
      <c r="R9">
        <f>IF(P9="","",P9+(1000-M9)/10000000)</f>
        <v/>
      </c>
    </row>
    <row r="10">
      <c r="A10" t="n">
        <v>9</v>
      </c>
      <c r="B10">
        <f>IF(A10&gt;ROWS(avaliacoes_qualidade[escola]),"",INDEX(avaliacoes_qualidade[escola],A10))</f>
        <v/>
      </c>
      <c r="C10">
        <f>IF(B10="","",INDEX(avaliacoes_qualidade[Nota média],A10))</f>
        <v/>
      </c>
      <c r="D10">
        <f>IF(B10="","",INDEX(avaliacoes_qualidade[Avaliações],A10))</f>
        <v/>
      </c>
      <c r="E10">
        <f>IF(B10="","",IFERROR(INDEX(escolas[Column1.tipo],MATCH(B10,escolas[Column1.nome],0)),"—"))</f>
        <v/>
      </c>
      <c r="F10">
        <f>IF(B10="","",SUMPRODUCT(MAX((RIGHT(B10,LEN(enderecos_escolas[cidade])+1)=" "&amp;enderecos_escolas[cidade])*LEN(enderecos_escolas[cidade]))))</f>
        <v/>
      </c>
      <c r="G10">
        <f>IF(B10="","",IFERROR(INDEX(enderecos_escolas[estado],MATCH(1,INDEX((RIGHT(B10,LEN(enderecos_escolas[cidade])+1)=" "&amp;enderecos_escolas[cidade])*(LEN(enderecos_escolas[cidade])=F10),0),0)),"—"))</f>
        <v/>
      </c>
      <c r="H10">
        <f>IF(B10="","",IFERROR(VLOOKUP(G10,'Parâmetros'!$A$5:$B$31,2,FALSE),"Não localizada"))</f>
        <v/>
      </c>
      <c r="I10">
        <f>IF(B10="","",IFERROR(INDEX(enderecos_escolas[tipoLocalizacao],MATCH(1,INDEX((RIGHT(B10,LEN(enderecos_escolas[cidade])+1)=" "&amp;enderecos_escolas[cidade])*(LEN(enderecos_escolas[cidade])=F10),0),0)),"—"))</f>
        <v/>
      </c>
      <c r="K10">
        <f>IF(C10="","",IF(AND(OR('Ranking Escolas'!$F$4="Todas",H10='Ranking Escolas'!$F$4),OR('Ranking Escolas'!$I$4="Todos",E10='Ranking Escolas'!$I$4)),C10+(1000-A10)/10000000,""))</f>
        <v/>
      </c>
      <c r="M10" t="n">
        <v>9</v>
      </c>
      <c r="N10">
        <f>IF(M10&gt;ROWS(avaliacoes_cursos[curso]),"",INDEX(avaliacoes_cursos[curso],M10))</f>
        <v/>
      </c>
      <c r="O10">
        <f>IF(N10="","",INDEX(avaliacoes_cursos[escola],M10))</f>
        <v/>
      </c>
      <c r="P10">
        <f>IF(N10="","",INDEX(avaliacoes_cursos[Nota média],M10))</f>
        <v/>
      </c>
      <c r="Q10">
        <f>IF(N10="","",IF(COUNTIF(avaliacoes_cursos[curso],N10)&gt;1,N10&amp;" — "&amp;O10,N10))</f>
        <v/>
      </c>
      <c r="R10">
        <f>IF(P10="","",P10+(1000-M10)/10000000)</f>
        <v/>
      </c>
    </row>
    <row r="11">
      <c r="A11" t="n">
        <v>10</v>
      </c>
      <c r="B11">
        <f>IF(A11&gt;ROWS(avaliacoes_qualidade[escola]),"",INDEX(avaliacoes_qualidade[escola],A11))</f>
        <v/>
      </c>
      <c r="C11">
        <f>IF(B11="","",INDEX(avaliacoes_qualidade[Nota média],A11))</f>
        <v/>
      </c>
      <c r="D11">
        <f>IF(B11="","",INDEX(avaliacoes_qualidade[Avaliações],A11))</f>
        <v/>
      </c>
      <c r="E11">
        <f>IF(B11="","",IFERROR(INDEX(escolas[Column1.tipo],MATCH(B11,escolas[Column1.nome],0)),"—"))</f>
        <v/>
      </c>
      <c r="F11">
        <f>IF(B11="","",SUMPRODUCT(MAX((RIGHT(B11,LEN(enderecos_escolas[cidade])+1)=" "&amp;enderecos_escolas[cidade])*LEN(enderecos_escolas[cidade]))))</f>
        <v/>
      </c>
      <c r="G11">
        <f>IF(B11="","",IFERROR(INDEX(enderecos_escolas[estado],MATCH(1,INDEX((RIGHT(B11,LEN(enderecos_escolas[cidade])+1)=" "&amp;enderecos_escolas[cidade])*(LEN(enderecos_escolas[cidade])=F11),0),0)),"—"))</f>
        <v/>
      </c>
      <c r="H11">
        <f>IF(B11="","",IFERROR(VLOOKUP(G11,'Parâmetros'!$A$5:$B$31,2,FALSE),"Não localizada"))</f>
        <v/>
      </c>
      <c r="I11">
        <f>IF(B11="","",IFERROR(INDEX(enderecos_escolas[tipoLocalizacao],MATCH(1,INDEX((RIGHT(B11,LEN(enderecos_escolas[cidade])+1)=" "&amp;enderecos_escolas[cidade])*(LEN(enderecos_escolas[cidade])=F11),0),0)),"—"))</f>
        <v/>
      </c>
      <c r="K11">
        <f>IF(C11="","",IF(AND(OR('Ranking Escolas'!$F$4="Todas",H11='Ranking Escolas'!$F$4),OR('Ranking Escolas'!$I$4="Todos",E11='Ranking Escolas'!$I$4)),C11+(1000-A11)/10000000,""))</f>
        <v/>
      </c>
      <c r="M11" t="n">
        <v>10</v>
      </c>
      <c r="N11">
        <f>IF(M11&gt;ROWS(avaliacoes_cursos[curso]),"",INDEX(avaliacoes_cursos[curso],M11))</f>
        <v/>
      </c>
      <c r="O11">
        <f>IF(N11="","",INDEX(avaliacoes_cursos[escola],M11))</f>
        <v/>
      </c>
      <c r="P11">
        <f>IF(N11="","",INDEX(avaliacoes_cursos[Nota média],M11))</f>
        <v/>
      </c>
      <c r="Q11">
        <f>IF(N11="","",IF(COUNTIF(avaliacoes_cursos[curso],N11)&gt;1,N11&amp;" — "&amp;O11,N11))</f>
        <v/>
      </c>
      <c r="R11">
        <f>IF(P11="","",P11+(1000-M11)/10000000)</f>
        <v/>
      </c>
    </row>
    <row r="12">
      <c r="A12" t="n">
        <v>11</v>
      </c>
      <c r="B12">
        <f>IF(A12&gt;ROWS(avaliacoes_qualidade[escola]),"",INDEX(avaliacoes_qualidade[escola],A12))</f>
        <v/>
      </c>
      <c r="C12">
        <f>IF(B12="","",INDEX(avaliacoes_qualidade[Nota média],A12))</f>
        <v/>
      </c>
      <c r="D12">
        <f>IF(B12="","",INDEX(avaliacoes_qualidade[Avaliações],A12))</f>
        <v/>
      </c>
      <c r="E12">
        <f>IF(B12="","",IFERROR(INDEX(escolas[Column1.tipo],MATCH(B12,escolas[Column1.nome],0)),"—"))</f>
        <v/>
      </c>
      <c r="F12">
        <f>IF(B12="","",SUMPRODUCT(MAX((RIGHT(B12,LEN(enderecos_escolas[cidade])+1)=" "&amp;enderecos_escolas[cidade])*LEN(enderecos_escolas[cidade]))))</f>
        <v/>
      </c>
      <c r="G12">
        <f>IF(B12="","",IFERROR(INDEX(enderecos_escolas[estado],MATCH(1,INDEX((RIGHT(B12,LEN(enderecos_escolas[cidade])+1)=" "&amp;enderecos_escolas[cidade])*(LEN(enderecos_escolas[cidade])=F12),0),0)),"—"))</f>
        <v/>
      </c>
      <c r="H12">
        <f>IF(B12="","",IFERROR(VLOOKUP(G12,'Parâmetros'!$A$5:$B$31,2,FALSE),"Não localizada"))</f>
        <v/>
      </c>
      <c r="I12">
        <f>IF(B12="","",IFERROR(INDEX(enderecos_escolas[tipoLocalizacao],MATCH(1,INDEX((RIGHT(B12,LEN(enderecos_escolas[cidade])+1)=" "&amp;enderecos_escolas[cidade])*(LEN(enderecos_escolas[cidade])=F12),0),0)),"—"))</f>
        <v/>
      </c>
      <c r="K12">
        <f>IF(C12="","",IF(AND(OR('Ranking Escolas'!$F$4="Todas",H12='Ranking Escolas'!$F$4),OR('Ranking Escolas'!$I$4="Todos",E12='Ranking Escolas'!$I$4)),C12+(1000-A12)/10000000,""))</f>
        <v/>
      </c>
      <c r="M12" t="n">
        <v>11</v>
      </c>
      <c r="N12">
        <f>IF(M12&gt;ROWS(avaliacoes_cursos[curso]),"",INDEX(avaliacoes_cursos[curso],M12))</f>
        <v/>
      </c>
      <c r="O12">
        <f>IF(N12="","",INDEX(avaliacoes_cursos[escola],M12))</f>
        <v/>
      </c>
      <c r="P12">
        <f>IF(N12="","",INDEX(avaliacoes_cursos[Nota média],M12))</f>
        <v/>
      </c>
      <c r="Q12">
        <f>IF(N12="","",IF(COUNTIF(avaliacoes_cursos[curso],N12)&gt;1,N12&amp;" — "&amp;O12,N12))</f>
        <v/>
      </c>
      <c r="R12">
        <f>IF(P12="","",P12+(1000-M12)/10000000)</f>
        <v/>
      </c>
    </row>
    <row r="13">
      <c r="A13" t="n">
        <v>12</v>
      </c>
      <c r="B13">
        <f>IF(A13&gt;ROWS(avaliacoes_qualidade[escola]),"",INDEX(avaliacoes_qualidade[escola],A13))</f>
        <v/>
      </c>
      <c r="C13">
        <f>IF(B13="","",INDEX(avaliacoes_qualidade[Nota média],A13))</f>
        <v/>
      </c>
      <c r="D13">
        <f>IF(B13="","",INDEX(avaliacoes_qualidade[Avaliações],A13))</f>
        <v/>
      </c>
      <c r="E13">
        <f>IF(B13="","",IFERROR(INDEX(escolas[Column1.tipo],MATCH(B13,escolas[Column1.nome],0)),"—"))</f>
        <v/>
      </c>
      <c r="F13">
        <f>IF(B13="","",SUMPRODUCT(MAX((RIGHT(B13,LEN(enderecos_escolas[cidade])+1)=" "&amp;enderecos_escolas[cidade])*LEN(enderecos_escolas[cidade]))))</f>
        <v/>
      </c>
      <c r="G13">
        <f>IF(B13="","",IFERROR(INDEX(enderecos_escolas[estado],MATCH(1,INDEX((RIGHT(B13,LEN(enderecos_escolas[cidade])+1)=" "&amp;enderecos_escolas[cidade])*(LEN(enderecos_escolas[cidade])=F13),0),0)),"—"))</f>
        <v/>
      </c>
      <c r="H13">
        <f>IF(B13="","",IFERROR(VLOOKUP(G13,'Parâmetros'!$A$5:$B$31,2,FALSE),"Não localizada"))</f>
        <v/>
      </c>
      <c r="I13">
        <f>IF(B13="","",IFERROR(INDEX(enderecos_escolas[tipoLocalizacao],MATCH(1,INDEX((RIGHT(B13,LEN(enderecos_escolas[cidade])+1)=" "&amp;enderecos_escolas[cidade])*(LEN(enderecos_escolas[cidade])=F13),0),0)),"—"))</f>
        <v/>
      </c>
      <c r="K13">
        <f>IF(C13="","",IF(AND(OR('Ranking Escolas'!$F$4="Todas",H13='Ranking Escolas'!$F$4),OR('Ranking Escolas'!$I$4="Todos",E13='Ranking Escolas'!$I$4)),C13+(1000-A13)/10000000,""))</f>
        <v/>
      </c>
      <c r="M13" t="n">
        <v>12</v>
      </c>
      <c r="N13">
        <f>IF(M13&gt;ROWS(avaliacoes_cursos[curso]),"",INDEX(avaliacoes_cursos[curso],M13))</f>
        <v/>
      </c>
      <c r="O13">
        <f>IF(N13="","",INDEX(avaliacoes_cursos[escola],M13))</f>
        <v/>
      </c>
      <c r="P13">
        <f>IF(N13="","",INDEX(avaliacoes_cursos[Nota média],M13))</f>
        <v/>
      </c>
      <c r="Q13">
        <f>IF(N13="","",IF(COUNTIF(avaliacoes_cursos[curso],N13)&gt;1,N13&amp;" — "&amp;O13,N13))</f>
        <v/>
      </c>
      <c r="R13">
        <f>IF(P13="","",P13+(1000-M13)/10000000)</f>
        <v/>
      </c>
    </row>
    <row r="14">
      <c r="A14" t="n">
        <v>13</v>
      </c>
      <c r="B14">
        <f>IF(A14&gt;ROWS(avaliacoes_qualidade[escola]),"",INDEX(avaliacoes_qualidade[escola],A14))</f>
        <v/>
      </c>
      <c r="C14">
        <f>IF(B14="","",INDEX(avaliacoes_qualidade[Nota média],A14))</f>
        <v/>
      </c>
      <c r="D14">
        <f>IF(B14="","",INDEX(avaliacoes_qualidade[Avaliações],A14))</f>
        <v/>
      </c>
      <c r="E14">
        <f>IF(B14="","",IFERROR(INDEX(escolas[Column1.tipo],MATCH(B14,escolas[Column1.nome],0)),"—"))</f>
        <v/>
      </c>
      <c r="F14">
        <f>IF(B14="","",SUMPRODUCT(MAX((RIGHT(B14,LEN(enderecos_escolas[cidade])+1)=" "&amp;enderecos_escolas[cidade])*LEN(enderecos_escolas[cidade]))))</f>
        <v/>
      </c>
      <c r="G14">
        <f>IF(B14="","",IFERROR(INDEX(enderecos_escolas[estado],MATCH(1,INDEX((RIGHT(B14,LEN(enderecos_escolas[cidade])+1)=" "&amp;enderecos_escolas[cidade])*(LEN(enderecos_escolas[cidade])=F14),0),0)),"—"))</f>
        <v/>
      </c>
      <c r="H14">
        <f>IF(B14="","",IFERROR(VLOOKUP(G14,'Parâmetros'!$A$5:$B$31,2,FALSE),"Não localizada"))</f>
        <v/>
      </c>
      <c r="I14">
        <f>IF(B14="","",IFERROR(INDEX(enderecos_escolas[tipoLocalizacao],MATCH(1,INDEX((RIGHT(B14,LEN(enderecos_escolas[cidade])+1)=" "&amp;enderecos_escolas[cidade])*(LEN(enderecos_escolas[cidade])=F14),0),0)),"—"))</f>
        <v/>
      </c>
      <c r="K14">
        <f>IF(C14="","",IF(AND(OR('Ranking Escolas'!$F$4="Todas",H14='Ranking Escolas'!$F$4),OR('Ranking Escolas'!$I$4="Todos",E14='Ranking Escolas'!$I$4)),C14+(1000-A14)/10000000,""))</f>
        <v/>
      </c>
      <c r="M14" t="n">
        <v>13</v>
      </c>
      <c r="N14">
        <f>IF(M14&gt;ROWS(avaliacoes_cursos[curso]),"",INDEX(avaliacoes_cursos[curso],M14))</f>
        <v/>
      </c>
      <c r="O14">
        <f>IF(N14="","",INDEX(avaliacoes_cursos[escola],M14))</f>
        <v/>
      </c>
      <c r="P14">
        <f>IF(N14="","",INDEX(avaliacoes_cursos[Nota média],M14))</f>
        <v/>
      </c>
      <c r="Q14">
        <f>IF(N14="","",IF(COUNTIF(avaliacoes_cursos[curso],N14)&gt;1,N14&amp;" — "&amp;O14,N14))</f>
        <v/>
      </c>
      <c r="R14">
        <f>IF(P14="","",P14+(1000-M14)/10000000)</f>
        <v/>
      </c>
    </row>
    <row r="15">
      <c r="A15" t="n">
        <v>14</v>
      </c>
      <c r="B15">
        <f>IF(A15&gt;ROWS(avaliacoes_qualidade[escola]),"",INDEX(avaliacoes_qualidade[escola],A15))</f>
        <v/>
      </c>
      <c r="C15">
        <f>IF(B15="","",INDEX(avaliacoes_qualidade[Nota média],A15))</f>
        <v/>
      </c>
      <c r="D15">
        <f>IF(B15="","",INDEX(avaliacoes_qualidade[Avaliações],A15))</f>
        <v/>
      </c>
      <c r="E15">
        <f>IF(B15="","",IFERROR(INDEX(escolas[Column1.tipo],MATCH(B15,escolas[Column1.nome],0)),"—"))</f>
        <v/>
      </c>
      <c r="F15">
        <f>IF(B15="","",SUMPRODUCT(MAX((RIGHT(B15,LEN(enderecos_escolas[cidade])+1)=" "&amp;enderecos_escolas[cidade])*LEN(enderecos_escolas[cidade]))))</f>
        <v/>
      </c>
      <c r="G15">
        <f>IF(B15="","",IFERROR(INDEX(enderecos_escolas[estado],MATCH(1,INDEX((RIGHT(B15,LEN(enderecos_escolas[cidade])+1)=" "&amp;enderecos_escolas[cidade])*(LEN(enderecos_escolas[cidade])=F15),0),0)),"—"))</f>
        <v/>
      </c>
      <c r="H15">
        <f>IF(B15="","",IFERROR(VLOOKUP(G15,'Parâmetros'!$A$5:$B$31,2,FALSE),"Não localizada"))</f>
        <v/>
      </c>
      <c r="I15">
        <f>IF(B15="","",IFERROR(INDEX(enderecos_escolas[tipoLocalizacao],MATCH(1,INDEX((RIGHT(B15,LEN(enderecos_escolas[cidade])+1)=" "&amp;enderecos_escolas[cidade])*(LEN(enderecos_escolas[cidade])=F15),0),0)),"—"))</f>
        <v/>
      </c>
      <c r="K15">
        <f>IF(C15="","",IF(AND(OR('Ranking Escolas'!$F$4="Todas",H15='Ranking Escolas'!$F$4),OR('Ranking Escolas'!$I$4="Todos",E15='Ranking Escolas'!$I$4)),C15+(1000-A15)/10000000,""))</f>
        <v/>
      </c>
      <c r="M15" t="n">
        <v>14</v>
      </c>
      <c r="N15">
        <f>IF(M15&gt;ROWS(avaliacoes_cursos[curso]),"",INDEX(avaliacoes_cursos[curso],M15))</f>
        <v/>
      </c>
      <c r="O15">
        <f>IF(N15="","",INDEX(avaliacoes_cursos[escola],M15))</f>
        <v/>
      </c>
      <c r="P15">
        <f>IF(N15="","",INDEX(avaliacoes_cursos[Nota média],M15))</f>
        <v/>
      </c>
      <c r="Q15">
        <f>IF(N15="","",IF(COUNTIF(avaliacoes_cursos[curso],N15)&gt;1,N15&amp;" — "&amp;O15,N15))</f>
        <v/>
      </c>
      <c r="R15">
        <f>IF(P15="","",P15+(1000-M15)/10000000)</f>
        <v/>
      </c>
    </row>
    <row r="16">
      <c r="A16" t="n">
        <v>15</v>
      </c>
      <c r="B16">
        <f>IF(A16&gt;ROWS(avaliacoes_qualidade[escola]),"",INDEX(avaliacoes_qualidade[escola],A16))</f>
        <v/>
      </c>
      <c r="C16">
        <f>IF(B16="","",INDEX(avaliacoes_qualidade[Nota média],A16))</f>
        <v/>
      </c>
      <c r="D16">
        <f>IF(B16="","",INDEX(avaliacoes_qualidade[Avaliações],A16))</f>
        <v/>
      </c>
      <c r="E16">
        <f>IF(B16="","",IFERROR(INDEX(escolas[Column1.tipo],MATCH(B16,escolas[Column1.nome],0)),"—"))</f>
        <v/>
      </c>
      <c r="F16">
        <f>IF(B16="","",SUMPRODUCT(MAX((RIGHT(B16,LEN(enderecos_escolas[cidade])+1)=" "&amp;enderecos_escolas[cidade])*LEN(enderecos_escolas[cidade]))))</f>
        <v/>
      </c>
      <c r="G16">
        <f>IF(B16="","",IFERROR(INDEX(enderecos_escolas[estado],MATCH(1,INDEX((RIGHT(B16,LEN(enderecos_escolas[cidade])+1)=" "&amp;enderecos_escolas[cidade])*(LEN(enderecos_escolas[cidade])=F16),0),0)),"—"))</f>
        <v/>
      </c>
      <c r="H16">
        <f>IF(B16="","",IFERROR(VLOOKUP(G16,'Parâmetros'!$A$5:$B$31,2,FALSE),"Não localizada"))</f>
        <v/>
      </c>
      <c r="I16">
        <f>IF(B16="","",IFERROR(INDEX(enderecos_escolas[tipoLocalizacao],MATCH(1,INDEX((RIGHT(B16,LEN(enderecos_escolas[cidade])+1)=" "&amp;enderecos_escolas[cidade])*(LEN(enderecos_escolas[cidade])=F16),0),0)),"—"))</f>
        <v/>
      </c>
      <c r="K16">
        <f>IF(C16="","",IF(AND(OR('Ranking Escolas'!$F$4="Todas",H16='Ranking Escolas'!$F$4),OR('Ranking Escolas'!$I$4="Todos",E16='Ranking Escolas'!$I$4)),C16+(1000-A16)/10000000,""))</f>
        <v/>
      </c>
      <c r="M16" t="n">
        <v>15</v>
      </c>
      <c r="N16">
        <f>IF(M16&gt;ROWS(avaliacoes_cursos[curso]),"",INDEX(avaliacoes_cursos[curso],M16))</f>
        <v/>
      </c>
      <c r="O16">
        <f>IF(N16="","",INDEX(avaliacoes_cursos[escola],M16))</f>
        <v/>
      </c>
      <c r="P16">
        <f>IF(N16="","",INDEX(avaliacoes_cursos[Nota média],M16))</f>
        <v/>
      </c>
      <c r="Q16">
        <f>IF(N16="","",IF(COUNTIF(avaliacoes_cursos[curso],N16)&gt;1,N16&amp;" — "&amp;O16,N16))</f>
        <v/>
      </c>
      <c r="R16">
        <f>IF(P16="","",P16+(1000-M16)/10000000)</f>
        <v/>
      </c>
    </row>
    <row r="17">
      <c r="A17" t="n">
        <v>16</v>
      </c>
      <c r="B17">
        <f>IF(A17&gt;ROWS(avaliacoes_qualidade[escola]),"",INDEX(avaliacoes_qualidade[escola],A17))</f>
        <v/>
      </c>
      <c r="C17">
        <f>IF(B17="","",INDEX(avaliacoes_qualidade[Nota média],A17))</f>
        <v/>
      </c>
      <c r="D17">
        <f>IF(B17="","",INDEX(avaliacoes_qualidade[Avaliações],A17))</f>
        <v/>
      </c>
      <c r="E17">
        <f>IF(B17="","",IFERROR(INDEX(escolas[Column1.tipo],MATCH(B17,escolas[Column1.nome],0)),"—"))</f>
        <v/>
      </c>
      <c r="F17">
        <f>IF(B17="","",SUMPRODUCT(MAX((RIGHT(B17,LEN(enderecos_escolas[cidade])+1)=" "&amp;enderecos_escolas[cidade])*LEN(enderecos_escolas[cidade]))))</f>
        <v/>
      </c>
      <c r="G17">
        <f>IF(B17="","",IFERROR(INDEX(enderecos_escolas[estado],MATCH(1,INDEX((RIGHT(B17,LEN(enderecos_escolas[cidade])+1)=" "&amp;enderecos_escolas[cidade])*(LEN(enderecos_escolas[cidade])=F17),0),0)),"—"))</f>
        <v/>
      </c>
      <c r="H17">
        <f>IF(B17="","",IFERROR(VLOOKUP(G17,'Parâmetros'!$A$5:$B$31,2,FALSE),"Não localizada"))</f>
        <v/>
      </c>
      <c r="I17">
        <f>IF(B17="","",IFERROR(INDEX(enderecos_escolas[tipoLocalizacao],MATCH(1,INDEX((RIGHT(B17,LEN(enderecos_escolas[cidade])+1)=" "&amp;enderecos_escolas[cidade])*(LEN(enderecos_escolas[cidade])=F17),0),0)),"—"))</f>
        <v/>
      </c>
      <c r="K17">
        <f>IF(C17="","",IF(AND(OR('Ranking Escolas'!$F$4="Todas",H17='Ranking Escolas'!$F$4),OR('Ranking Escolas'!$I$4="Todos",E17='Ranking Escolas'!$I$4)),C17+(1000-A17)/10000000,""))</f>
        <v/>
      </c>
      <c r="M17" t="n">
        <v>16</v>
      </c>
      <c r="N17">
        <f>IF(M17&gt;ROWS(avaliacoes_cursos[curso]),"",INDEX(avaliacoes_cursos[curso],M17))</f>
        <v/>
      </c>
      <c r="O17">
        <f>IF(N17="","",INDEX(avaliacoes_cursos[escola],M17))</f>
        <v/>
      </c>
      <c r="P17">
        <f>IF(N17="","",INDEX(avaliacoes_cursos[Nota média],M17))</f>
        <v/>
      </c>
      <c r="Q17">
        <f>IF(N17="","",IF(COUNTIF(avaliacoes_cursos[curso],N17)&gt;1,N17&amp;" — "&amp;O17,N17))</f>
        <v/>
      </c>
      <c r="R17">
        <f>IF(P17="","",P17+(1000-M17)/10000000)</f>
        <v/>
      </c>
    </row>
    <row r="18">
      <c r="A18" t="n">
        <v>17</v>
      </c>
      <c r="B18">
        <f>IF(A18&gt;ROWS(avaliacoes_qualidade[escola]),"",INDEX(avaliacoes_qualidade[escola],A18))</f>
        <v/>
      </c>
      <c r="C18">
        <f>IF(B18="","",INDEX(avaliacoes_qualidade[Nota média],A18))</f>
        <v/>
      </c>
      <c r="D18">
        <f>IF(B18="","",INDEX(avaliacoes_qualidade[Avaliações],A18))</f>
        <v/>
      </c>
      <c r="E18">
        <f>IF(B18="","",IFERROR(INDEX(escolas[Column1.tipo],MATCH(B18,escolas[Column1.nome],0)),"—"))</f>
        <v/>
      </c>
      <c r="F18">
        <f>IF(B18="","",SUMPRODUCT(MAX((RIGHT(B18,LEN(enderecos_escolas[cidade])+1)=" "&amp;enderecos_escolas[cidade])*LEN(enderecos_escolas[cidade]))))</f>
        <v/>
      </c>
      <c r="G18">
        <f>IF(B18="","",IFERROR(INDEX(enderecos_escolas[estado],MATCH(1,INDEX((RIGHT(B18,LEN(enderecos_escolas[cidade])+1)=" "&amp;enderecos_escolas[cidade])*(LEN(enderecos_escolas[cidade])=F18),0),0)),"—"))</f>
        <v/>
      </c>
      <c r="H18">
        <f>IF(B18="","",IFERROR(VLOOKUP(G18,'Parâmetros'!$A$5:$B$31,2,FALSE),"Não localizada"))</f>
        <v/>
      </c>
      <c r="I18">
        <f>IF(B18="","",IFERROR(INDEX(enderecos_escolas[tipoLocalizacao],MATCH(1,INDEX((RIGHT(B18,LEN(enderecos_escolas[cidade])+1)=" "&amp;enderecos_escolas[cidade])*(LEN(enderecos_escolas[cidade])=F18),0),0)),"—"))</f>
        <v/>
      </c>
      <c r="K18">
        <f>IF(C18="","",IF(AND(OR('Ranking Escolas'!$F$4="Todas",H18='Ranking Escolas'!$F$4),OR('Ranking Escolas'!$I$4="Todos",E18='Ranking Escolas'!$I$4)),C18+(1000-A18)/10000000,""))</f>
        <v/>
      </c>
      <c r="M18" t="n">
        <v>17</v>
      </c>
      <c r="N18">
        <f>IF(M18&gt;ROWS(avaliacoes_cursos[curso]),"",INDEX(avaliacoes_cursos[curso],M18))</f>
        <v/>
      </c>
      <c r="O18">
        <f>IF(N18="","",INDEX(avaliacoes_cursos[escola],M18))</f>
        <v/>
      </c>
      <c r="P18">
        <f>IF(N18="","",INDEX(avaliacoes_cursos[Nota média],M18))</f>
        <v/>
      </c>
      <c r="Q18">
        <f>IF(N18="","",IF(COUNTIF(avaliacoes_cursos[curso],N18)&gt;1,N18&amp;" — "&amp;O18,N18))</f>
        <v/>
      </c>
      <c r="R18">
        <f>IF(P18="","",P18+(1000-M18)/10000000)</f>
        <v/>
      </c>
    </row>
    <row r="19">
      <c r="A19" t="n">
        <v>18</v>
      </c>
      <c r="B19">
        <f>IF(A19&gt;ROWS(avaliacoes_qualidade[escola]),"",INDEX(avaliacoes_qualidade[escola],A19))</f>
        <v/>
      </c>
      <c r="C19">
        <f>IF(B19="","",INDEX(avaliacoes_qualidade[Nota média],A19))</f>
        <v/>
      </c>
      <c r="D19">
        <f>IF(B19="","",INDEX(avaliacoes_qualidade[Avaliações],A19))</f>
        <v/>
      </c>
      <c r="E19">
        <f>IF(B19="","",IFERROR(INDEX(escolas[Column1.tipo],MATCH(B19,escolas[Column1.nome],0)),"—"))</f>
        <v/>
      </c>
      <c r="F19">
        <f>IF(B19="","",SUMPRODUCT(MAX((RIGHT(B19,LEN(enderecos_escolas[cidade])+1)=" "&amp;enderecos_escolas[cidade])*LEN(enderecos_escolas[cidade]))))</f>
        <v/>
      </c>
      <c r="G19">
        <f>IF(B19="","",IFERROR(INDEX(enderecos_escolas[estado],MATCH(1,INDEX((RIGHT(B19,LEN(enderecos_escolas[cidade])+1)=" "&amp;enderecos_escolas[cidade])*(LEN(enderecos_escolas[cidade])=F19),0),0)),"—"))</f>
        <v/>
      </c>
      <c r="H19">
        <f>IF(B19="","",IFERROR(VLOOKUP(G19,'Parâmetros'!$A$5:$B$31,2,FALSE),"Não localizada"))</f>
        <v/>
      </c>
      <c r="I19">
        <f>IF(B19="","",IFERROR(INDEX(enderecos_escolas[tipoLocalizacao],MATCH(1,INDEX((RIGHT(B19,LEN(enderecos_escolas[cidade])+1)=" "&amp;enderecos_escolas[cidade])*(LEN(enderecos_escolas[cidade])=F19),0),0)),"—"))</f>
        <v/>
      </c>
      <c r="K19">
        <f>IF(C19="","",IF(AND(OR('Ranking Escolas'!$F$4="Todas",H19='Ranking Escolas'!$F$4),OR('Ranking Escolas'!$I$4="Todos",E19='Ranking Escolas'!$I$4)),C19+(1000-A19)/10000000,""))</f>
        <v/>
      </c>
      <c r="M19" t="n">
        <v>18</v>
      </c>
      <c r="N19">
        <f>IF(M19&gt;ROWS(avaliacoes_cursos[curso]),"",INDEX(avaliacoes_cursos[curso],M19))</f>
        <v/>
      </c>
      <c r="O19">
        <f>IF(N19="","",INDEX(avaliacoes_cursos[escola],M19))</f>
        <v/>
      </c>
      <c r="P19">
        <f>IF(N19="","",INDEX(avaliacoes_cursos[Nota média],M19))</f>
        <v/>
      </c>
      <c r="Q19">
        <f>IF(N19="","",IF(COUNTIF(avaliacoes_cursos[curso],N19)&gt;1,N19&amp;" — "&amp;O19,N19))</f>
        <v/>
      </c>
      <c r="R19">
        <f>IF(P19="","",P19+(1000-M19)/10000000)</f>
        <v/>
      </c>
    </row>
    <row r="20">
      <c r="A20" t="n">
        <v>19</v>
      </c>
      <c r="B20">
        <f>IF(A20&gt;ROWS(avaliacoes_qualidade[escola]),"",INDEX(avaliacoes_qualidade[escola],A20))</f>
        <v/>
      </c>
      <c r="C20">
        <f>IF(B20="","",INDEX(avaliacoes_qualidade[Nota média],A20))</f>
        <v/>
      </c>
      <c r="D20">
        <f>IF(B20="","",INDEX(avaliacoes_qualidade[Avaliações],A20))</f>
        <v/>
      </c>
      <c r="E20">
        <f>IF(B20="","",IFERROR(INDEX(escolas[Column1.tipo],MATCH(B20,escolas[Column1.nome],0)),"—"))</f>
        <v/>
      </c>
      <c r="F20">
        <f>IF(B20="","",SUMPRODUCT(MAX((RIGHT(B20,LEN(enderecos_escolas[cidade])+1)=" "&amp;enderecos_escolas[cidade])*LEN(enderecos_escolas[cidade]))))</f>
        <v/>
      </c>
      <c r="G20">
        <f>IF(B20="","",IFERROR(INDEX(enderecos_escolas[estado],MATCH(1,INDEX((RIGHT(B20,LEN(enderecos_escolas[cidade])+1)=" "&amp;enderecos_escolas[cidade])*(LEN(enderecos_escolas[cidade])=F20),0),0)),"—"))</f>
        <v/>
      </c>
      <c r="H20">
        <f>IF(B20="","",IFERROR(VLOOKUP(G20,'Parâmetros'!$A$5:$B$31,2,FALSE),"Não localizada"))</f>
        <v/>
      </c>
      <c r="I20">
        <f>IF(B20="","",IFERROR(INDEX(enderecos_escolas[tipoLocalizacao],MATCH(1,INDEX((RIGHT(B20,LEN(enderecos_escolas[cidade])+1)=" "&amp;enderecos_escolas[cidade])*(LEN(enderecos_escolas[cidade])=F20),0),0)),"—"))</f>
        <v/>
      </c>
      <c r="K20">
        <f>IF(C20="","",IF(AND(OR('Ranking Escolas'!$F$4="Todas",H20='Ranking Escolas'!$F$4),OR('Ranking Escolas'!$I$4="Todos",E20='Ranking Escolas'!$I$4)),C20+(1000-A20)/10000000,""))</f>
        <v/>
      </c>
      <c r="M20" t="n">
        <v>19</v>
      </c>
      <c r="N20">
        <f>IF(M20&gt;ROWS(avaliacoes_cursos[curso]),"",INDEX(avaliacoes_cursos[curso],M20))</f>
        <v/>
      </c>
      <c r="O20">
        <f>IF(N20="","",INDEX(avaliacoes_cursos[escola],M20))</f>
        <v/>
      </c>
      <c r="P20">
        <f>IF(N20="","",INDEX(avaliacoes_cursos[Nota média],M20))</f>
        <v/>
      </c>
      <c r="Q20">
        <f>IF(N20="","",IF(COUNTIF(avaliacoes_cursos[curso],N20)&gt;1,N20&amp;" — "&amp;O20,N20))</f>
        <v/>
      </c>
      <c r="R20">
        <f>IF(P20="","",P20+(1000-M20)/10000000)</f>
        <v/>
      </c>
    </row>
    <row r="21">
      <c r="A21" t="n">
        <v>20</v>
      </c>
      <c r="B21">
        <f>IF(A21&gt;ROWS(avaliacoes_qualidade[escola]),"",INDEX(avaliacoes_qualidade[escola],A21))</f>
        <v/>
      </c>
      <c r="C21">
        <f>IF(B21="","",INDEX(avaliacoes_qualidade[Nota média],A21))</f>
        <v/>
      </c>
      <c r="D21">
        <f>IF(B21="","",INDEX(avaliacoes_qualidade[Avaliações],A21))</f>
        <v/>
      </c>
      <c r="E21">
        <f>IF(B21="","",IFERROR(INDEX(escolas[Column1.tipo],MATCH(B21,escolas[Column1.nome],0)),"—"))</f>
        <v/>
      </c>
      <c r="F21">
        <f>IF(B21="","",SUMPRODUCT(MAX((RIGHT(B21,LEN(enderecos_escolas[cidade])+1)=" "&amp;enderecos_escolas[cidade])*LEN(enderecos_escolas[cidade]))))</f>
        <v/>
      </c>
      <c r="G21">
        <f>IF(B21="","",IFERROR(INDEX(enderecos_escolas[estado],MATCH(1,INDEX((RIGHT(B21,LEN(enderecos_escolas[cidade])+1)=" "&amp;enderecos_escolas[cidade])*(LEN(enderecos_escolas[cidade])=F21),0),0)),"—"))</f>
        <v/>
      </c>
      <c r="H21">
        <f>IF(B21="","",IFERROR(VLOOKUP(G21,'Parâmetros'!$A$5:$B$31,2,FALSE),"Não localizada"))</f>
        <v/>
      </c>
      <c r="I21">
        <f>IF(B21="","",IFERROR(INDEX(enderecos_escolas[tipoLocalizacao],MATCH(1,INDEX((RIGHT(B21,LEN(enderecos_escolas[cidade])+1)=" "&amp;enderecos_escolas[cidade])*(LEN(enderecos_escolas[cidade])=F21),0),0)),"—"))</f>
        <v/>
      </c>
      <c r="K21">
        <f>IF(C21="","",IF(AND(OR('Ranking Escolas'!$F$4="Todas",H21='Ranking Escolas'!$F$4),OR('Ranking Escolas'!$I$4="Todos",E21='Ranking Escolas'!$I$4)),C21+(1000-A21)/10000000,""))</f>
        <v/>
      </c>
      <c r="M21" t="n">
        <v>20</v>
      </c>
      <c r="N21">
        <f>IF(M21&gt;ROWS(avaliacoes_cursos[curso]),"",INDEX(avaliacoes_cursos[curso],M21))</f>
        <v/>
      </c>
      <c r="O21">
        <f>IF(N21="","",INDEX(avaliacoes_cursos[escola],M21))</f>
        <v/>
      </c>
      <c r="P21">
        <f>IF(N21="","",INDEX(avaliacoes_cursos[Nota média],M21))</f>
        <v/>
      </c>
      <c r="Q21">
        <f>IF(N21="","",IF(COUNTIF(avaliacoes_cursos[curso],N21)&gt;1,N21&amp;" — "&amp;O21,N21))</f>
        <v/>
      </c>
      <c r="R21">
        <f>IF(P21="","",P21+(1000-M21)/10000000)</f>
        <v/>
      </c>
    </row>
    <row r="22">
      <c r="A22" t="n">
        <v>21</v>
      </c>
      <c r="B22">
        <f>IF(A22&gt;ROWS(avaliacoes_qualidade[escola]),"",INDEX(avaliacoes_qualidade[escola],A22))</f>
        <v/>
      </c>
      <c r="C22">
        <f>IF(B22="","",INDEX(avaliacoes_qualidade[Nota média],A22))</f>
        <v/>
      </c>
      <c r="D22">
        <f>IF(B22="","",INDEX(avaliacoes_qualidade[Avaliações],A22))</f>
        <v/>
      </c>
      <c r="E22">
        <f>IF(B22="","",IFERROR(INDEX(escolas[Column1.tipo],MATCH(B22,escolas[Column1.nome],0)),"—"))</f>
        <v/>
      </c>
      <c r="F22">
        <f>IF(B22="","",SUMPRODUCT(MAX((RIGHT(B22,LEN(enderecos_escolas[cidade])+1)=" "&amp;enderecos_escolas[cidade])*LEN(enderecos_escolas[cidade]))))</f>
        <v/>
      </c>
      <c r="G22">
        <f>IF(B22="","",IFERROR(INDEX(enderecos_escolas[estado],MATCH(1,INDEX((RIGHT(B22,LEN(enderecos_escolas[cidade])+1)=" "&amp;enderecos_escolas[cidade])*(LEN(enderecos_escolas[cidade])=F22),0),0)),"—"))</f>
        <v/>
      </c>
      <c r="H22">
        <f>IF(B22="","",IFERROR(VLOOKUP(G22,'Parâmetros'!$A$5:$B$31,2,FALSE),"Não localizada"))</f>
        <v/>
      </c>
      <c r="I22">
        <f>IF(B22="","",IFERROR(INDEX(enderecos_escolas[tipoLocalizacao],MATCH(1,INDEX((RIGHT(B22,LEN(enderecos_escolas[cidade])+1)=" "&amp;enderecos_escolas[cidade])*(LEN(enderecos_escolas[cidade])=F22),0),0)),"—"))</f>
        <v/>
      </c>
      <c r="K22">
        <f>IF(C22="","",IF(AND(OR('Ranking Escolas'!$F$4="Todas",H22='Ranking Escolas'!$F$4),OR('Ranking Escolas'!$I$4="Todos",E22='Ranking Escolas'!$I$4)),C22+(1000-A22)/10000000,""))</f>
        <v/>
      </c>
      <c r="M22" t="n">
        <v>21</v>
      </c>
      <c r="N22">
        <f>IF(M22&gt;ROWS(avaliacoes_cursos[curso]),"",INDEX(avaliacoes_cursos[curso],M22))</f>
        <v/>
      </c>
      <c r="O22">
        <f>IF(N22="","",INDEX(avaliacoes_cursos[escola],M22))</f>
        <v/>
      </c>
      <c r="P22">
        <f>IF(N22="","",INDEX(avaliacoes_cursos[Nota média],M22))</f>
        <v/>
      </c>
      <c r="Q22">
        <f>IF(N22="","",IF(COUNTIF(avaliacoes_cursos[curso],N22)&gt;1,N22&amp;" — "&amp;O22,N22))</f>
        <v/>
      </c>
      <c r="R22">
        <f>IF(P22="","",P22+(1000-M22)/10000000)</f>
        <v/>
      </c>
    </row>
    <row r="23">
      <c r="A23" t="n">
        <v>22</v>
      </c>
      <c r="B23">
        <f>IF(A23&gt;ROWS(avaliacoes_qualidade[escola]),"",INDEX(avaliacoes_qualidade[escola],A23))</f>
        <v/>
      </c>
      <c r="C23">
        <f>IF(B23="","",INDEX(avaliacoes_qualidade[Nota média],A23))</f>
        <v/>
      </c>
      <c r="D23">
        <f>IF(B23="","",INDEX(avaliacoes_qualidade[Avaliações],A23))</f>
        <v/>
      </c>
      <c r="E23">
        <f>IF(B23="","",IFERROR(INDEX(escolas[Column1.tipo],MATCH(B23,escolas[Column1.nome],0)),"—"))</f>
        <v/>
      </c>
      <c r="F23">
        <f>IF(B23="","",SUMPRODUCT(MAX((RIGHT(B23,LEN(enderecos_escolas[cidade])+1)=" "&amp;enderecos_escolas[cidade])*LEN(enderecos_escolas[cidade]))))</f>
        <v/>
      </c>
      <c r="G23">
        <f>IF(B23="","",IFERROR(INDEX(enderecos_escolas[estado],MATCH(1,INDEX((RIGHT(B23,LEN(enderecos_escolas[cidade])+1)=" "&amp;enderecos_escolas[cidade])*(LEN(enderecos_escolas[cidade])=F23),0),0)),"—"))</f>
        <v/>
      </c>
      <c r="H23">
        <f>IF(B23="","",IFERROR(VLOOKUP(G23,'Parâmetros'!$A$5:$B$31,2,FALSE),"Não localizada"))</f>
        <v/>
      </c>
      <c r="I23">
        <f>IF(B23="","",IFERROR(INDEX(enderecos_escolas[tipoLocalizacao],MATCH(1,INDEX((RIGHT(B23,LEN(enderecos_escolas[cidade])+1)=" "&amp;enderecos_escolas[cidade])*(LEN(enderecos_escolas[cidade])=F23),0),0)),"—"))</f>
        <v/>
      </c>
      <c r="K23">
        <f>IF(C23="","",IF(AND(OR('Ranking Escolas'!$F$4="Todas",H23='Ranking Escolas'!$F$4),OR('Ranking Escolas'!$I$4="Todos",E23='Ranking Escolas'!$I$4)),C23+(1000-A23)/10000000,""))</f>
        <v/>
      </c>
      <c r="M23" t="n">
        <v>22</v>
      </c>
      <c r="N23">
        <f>IF(M23&gt;ROWS(avaliacoes_cursos[curso]),"",INDEX(avaliacoes_cursos[curso],M23))</f>
        <v/>
      </c>
      <c r="O23">
        <f>IF(N23="","",INDEX(avaliacoes_cursos[escola],M23))</f>
        <v/>
      </c>
      <c r="P23">
        <f>IF(N23="","",INDEX(avaliacoes_cursos[Nota média],M23))</f>
        <v/>
      </c>
      <c r="Q23">
        <f>IF(N23="","",IF(COUNTIF(avaliacoes_cursos[curso],N23)&gt;1,N23&amp;" — "&amp;O23,N23))</f>
        <v/>
      </c>
      <c r="R23">
        <f>IF(P23="","",P23+(1000-M23)/10000000)</f>
        <v/>
      </c>
    </row>
    <row r="24">
      <c r="A24" t="n">
        <v>23</v>
      </c>
      <c r="B24">
        <f>IF(A24&gt;ROWS(avaliacoes_qualidade[escola]),"",INDEX(avaliacoes_qualidade[escola],A24))</f>
        <v/>
      </c>
      <c r="C24">
        <f>IF(B24="","",INDEX(avaliacoes_qualidade[Nota média],A24))</f>
        <v/>
      </c>
      <c r="D24">
        <f>IF(B24="","",INDEX(avaliacoes_qualidade[Avaliações],A24))</f>
        <v/>
      </c>
      <c r="E24">
        <f>IF(B24="","",IFERROR(INDEX(escolas[Column1.tipo],MATCH(B24,escolas[Column1.nome],0)),"—"))</f>
        <v/>
      </c>
      <c r="F24">
        <f>IF(B24="","",SUMPRODUCT(MAX((RIGHT(B24,LEN(enderecos_escolas[cidade])+1)=" "&amp;enderecos_escolas[cidade])*LEN(enderecos_escolas[cidade]))))</f>
        <v/>
      </c>
      <c r="G24">
        <f>IF(B24="","",IFERROR(INDEX(enderecos_escolas[estado],MATCH(1,INDEX((RIGHT(B24,LEN(enderecos_escolas[cidade])+1)=" "&amp;enderecos_escolas[cidade])*(LEN(enderecos_escolas[cidade])=F24),0),0)),"—"))</f>
        <v/>
      </c>
      <c r="H24">
        <f>IF(B24="","",IFERROR(VLOOKUP(G24,'Parâmetros'!$A$5:$B$31,2,FALSE),"Não localizada"))</f>
        <v/>
      </c>
      <c r="I24">
        <f>IF(B24="","",IFERROR(INDEX(enderecos_escolas[tipoLocalizacao],MATCH(1,INDEX((RIGHT(B24,LEN(enderecos_escolas[cidade])+1)=" "&amp;enderecos_escolas[cidade])*(LEN(enderecos_escolas[cidade])=F24),0),0)),"—"))</f>
        <v/>
      </c>
      <c r="K24">
        <f>IF(C24="","",IF(AND(OR('Ranking Escolas'!$F$4="Todas",H24='Ranking Escolas'!$F$4),OR('Ranking Escolas'!$I$4="Todos",E24='Ranking Escolas'!$I$4)),C24+(1000-A24)/10000000,""))</f>
        <v/>
      </c>
      <c r="M24" t="n">
        <v>23</v>
      </c>
      <c r="N24">
        <f>IF(M24&gt;ROWS(avaliacoes_cursos[curso]),"",INDEX(avaliacoes_cursos[curso],M24))</f>
        <v/>
      </c>
      <c r="O24">
        <f>IF(N24="","",INDEX(avaliacoes_cursos[escola],M24))</f>
        <v/>
      </c>
      <c r="P24">
        <f>IF(N24="","",INDEX(avaliacoes_cursos[Nota média],M24))</f>
        <v/>
      </c>
      <c r="Q24">
        <f>IF(N24="","",IF(COUNTIF(avaliacoes_cursos[curso],N24)&gt;1,N24&amp;" — "&amp;O24,N24))</f>
        <v/>
      </c>
      <c r="R24">
        <f>IF(P24="","",P24+(1000-M24)/10000000)</f>
        <v/>
      </c>
    </row>
    <row r="25">
      <c r="A25" t="n">
        <v>24</v>
      </c>
      <c r="B25">
        <f>IF(A25&gt;ROWS(avaliacoes_qualidade[escola]),"",INDEX(avaliacoes_qualidade[escola],A25))</f>
        <v/>
      </c>
      <c r="C25">
        <f>IF(B25="","",INDEX(avaliacoes_qualidade[Nota média],A25))</f>
        <v/>
      </c>
      <c r="D25">
        <f>IF(B25="","",INDEX(avaliacoes_qualidade[Avaliações],A25))</f>
        <v/>
      </c>
      <c r="E25">
        <f>IF(B25="","",IFERROR(INDEX(escolas[Column1.tipo],MATCH(B25,escolas[Column1.nome],0)),"—"))</f>
        <v/>
      </c>
      <c r="F25">
        <f>IF(B25="","",SUMPRODUCT(MAX((RIGHT(B25,LEN(enderecos_escolas[cidade])+1)=" "&amp;enderecos_escolas[cidade])*LEN(enderecos_escolas[cidade]))))</f>
        <v/>
      </c>
      <c r="G25">
        <f>IF(B25="","",IFERROR(INDEX(enderecos_escolas[estado],MATCH(1,INDEX((RIGHT(B25,LEN(enderecos_escolas[cidade])+1)=" "&amp;enderecos_escolas[cidade])*(LEN(enderecos_escolas[cidade])=F25),0),0)),"—"))</f>
        <v/>
      </c>
      <c r="H25">
        <f>IF(B25="","",IFERROR(VLOOKUP(G25,'Parâmetros'!$A$5:$B$31,2,FALSE),"Não localizada"))</f>
        <v/>
      </c>
      <c r="I25">
        <f>IF(B25="","",IFERROR(INDEX(enderecos_escolas[tipoLocalizacao],MATCH(1,INDEX((RIGHT(B25,LEN(enderecos_escolas[cidade])+1)=" "&amp;enderecos_escolas[cidade])*(LEN(enderecos_escolas[cidade])=F25),0),0)),"—"))</f>
        <v/>
      </c>
      <c r="K25">
        <f>IF(C25="","",IF(AND(OR('Ranking Escolas'!$F$4="Todas",H25='Ranking Escolas'!$F$4),OR('Ranking Escolas'!$I$4="Todos",E25='Ranking Escolas'!$I$4)),C25+(1000-A25)/10000000,""))</f>
        <v/>
      </c>
      <c r="M25" t="n">
        <v>24</v>
      </c>
      <c r="N25">
        <f>IF(M25&gt;ROWS(avaliacoes_cursos[curso]),"",INDEX(avaliacoes_cursos[curso],M25))</f>
        <v/>
      </c>
      <c r="O25">
        <f>IF(N25="","",INDEX(avaliacoes_cursos[escola],M25))</f>
        <v/>
      </c>
      <c r="P25">
        <f>IF(N25="","",INDEX(avaliacoes_cursos[Nota média],M25))</f>
        <v/>
      </c>
      <c r="Q25">
        <f>IF(N25="","",IF(COUNTIF(avaliacoes_cursos[curso],N25)&gt;1,N25&amp;" — "&amp;O25,N25))</f>
        <v/>
      </c>
      <c r="R25">
        <f>IF(P25="","",P25+(1000-M25)/10000000)</f>
        <v/>
      </c>
    </row>
    <row r="26">
      <c r="A26" t="n">
        <v>25</v>
      </c>
      <c r="B26">
        <f>IF(A26&gt;ROWS(avaliacoes_qualidade[escola]),"",INDEX(avaliacoes_qualidade[escola],A26))</f>
        <v/>
      </c>
      <c r="C26">
        <f>IF(B26="","",INDEX(avaliacoes_qualidade[Nota média],A26))</f>
        <v/>
      </c>
      <c r="D26">
        <f>IF(B26="","",INDEX(avaliacoes_qualidade[Avaliações],A26))</f>
        <v/>
      </c>
      <c r="E26">
        <f>IF(B26="","",IFERROR(INDEX(escolas[Column1.tipo],MATCH(B26,escolas[Column1.nome],0)),"—"))</f>
        <v/>
      </c>
      <c r="F26">
        <f>IF(B26="","",SUMPRODUCT(MAX((RIGHT(B26,LEN(enderecos_escolas[cidade])+1)=" "&amp;enderecos_escolas[cidade])*LEN(enderecos_escolas[cidade]))))</f>
        <v/>
      </c>
      <c r="G26">
        <f>IF(B26="","",IFERROR(INDEX(enderecos_escolas[estado],MATCH(1,INDEX((RIGHT(B26,LEN(enderecos_escolas[cidade])+1)=" "&amp;enderecos_escolas[cidade])*(LEN(enderecos_escolas[cidade])=F26),0),0)),"—"))</f>
        <v/>
      </c>
      <c r="H26">
        <f>IF(B26="","",IFERROR(VLOOKUP(G26,'Parâmetros'!$A$5:$B$31,2,FALSE),"Não localizada"))</f>
        <v/>
      </c>
      <c r="I26">
        <f>IF(B26="","",IFERROR(INDEX(enderecos_escolas[tipoLocalizacao],MATCH(1,INDEX((RIGHT(B26,LEN(enderecos_escolas[cidade])+1)=" "&amp;enderecos_escolas[cidade])*(LEN(enderecos_escolas[cidade])=F26),0),0)),"—"))</f>
        <v/>
      </c>
      <c r="K26">
        <f>IF(C26="","",IF(AND(OR('Ranking Escolas'!$F$4="Todas",H26='Ranking Escolas'!$F$4),OR('Ranking Escolas'!$I$4="Todos",E26='Ranking Escolas'!$I$4)),C26+(1000-A26)/10000000,""))</f>
        <v/>
      </c>
      <c r="M26" t="n">
        <v>25</v>
      </c>
      <c r="N26">
        <f>IF(M26&gt;ROWS(avaliacoes_cursos[curso]),"",INDEX(avaliacoes_cursos[curso],M26))</f>
        <v/>
      </c>
      <c r="O26">
        <f>IF(N26="","",INDEX(avaliacoes_cursos[escola],M26))</f>
        <v/>
      </c>
      <c r="P26">
        <f>IF(N26="","",INDEX(avaliacoes_cursos[Nota média],M26))</f>
        <v/>
      </c>
      <c r="Q26">
        <f>IF(N26="","",IF(COUNTIF(avaliacoes_cursos[curso],N26)&gt;1,N26&amp;" — "&amp;O26,N26))</f>
        <v/>
      </c>
      <c r="R26">
        <f>IF(P26="","",P26+(1000-M26)/10000000)</f>
        <v/>
      </c>
    </row>
    <row r="27">
      <c r="A27" t="n">
        <v>26</v>
      </c>
      <c r="B27">
        <f>IF(A27&gt;ROWS(avaliacoes_qualidade[escola]),"",INDEX(avaliacoes_qualidade[escola],A27))</f>
        <v/>
      </c>
      <c r="C27">
        <f>IF(B27="","",INDEX(avaliacoes_qualidade[Nota média],A27))</f>
        <v/>
      </c>
      <c r="D27">
        <f>IF(B27="","",INDEX(avaliacoes_qualidade[Avaliações],A27))</f>
        <v/>
      </c>
      <c r="E27">
        <f>IF(B27="","",IFERROR(INDEX(escolas[Column1.tipo],MATCH(B27,escolas[Column1.nome],0)),"—"))</f>
        <v/>
      </c>
      <c r="F27">
        <f>IF(B27="","",SUMPRODUCT(MAX((RIGHT(B27,LEN(enderecos_escolas[cidade])+1)=" "&amp;enderecos_escolas[cidade])*LEN(enderecos_escolas[cidade]))))</f>
        <v/>
      </c>
      <c r="G27">
        <f>IF(B27="","",IFERROR(INDEX(enderecos_escolas[estado],MATCH(1,INDEX((RIGHT(B27,LEN(enderecos_escolas[cidade])+1)=" "&amp;enderecos_escolas[cidade])*(LEN(enderecos_escolas[cidade])=F27),0),0)),"—"))</f>
        <v/>
      </c>
      <c r="H27">
        <f>IF(B27="","",IFERROR(VLOOKUP(G27,'Parâmetros'!$A$5:$B$31,2,FALSE),"Não localizada"))</f>
        <v/>
      </c>
      <c r="I27">
        <f>IF(B27="","",IFERROR(INDEX(enderecos_escolas[tipoLocalizacao],MATCH(1,INDEX((RIGHT(B27,LEN(enderecos_escolas[cidade])+1)=" "&amp;enderecos_escolas[cidade])*(LEN(enderecos_escolas[cidade])=F27),0),0)),"—"))</f>
        <v/>
      </c>
      <c r="K27">
        <f>IF(C27="","",IF(AND(OR('Ranking Escolas'!$F$4="Todas",H27='Ranking Escolas'!$F$4),OR('Ranking Escolas'!$I$4="Todos",E27='Ranking Escolas'!$I$4)),C27+(1000-A27)/10000000,""))</f>
        <v/>
      </c>
      <c r="M27" t="n">
        <v>26</v>
      </c>
      <c r="N27">
        <f>IF(M27&gt;ROWS(avaliacoes_cursos[curso]),"",INDEX(avaliacoes_cursos[curso],M27))</f>
        <v/>
      </c>
      <c r="O27">
        <f>IF(N27="","",INDEX(avaliacoes_cursos[escola],M27))</f>
        <v/>
      </c>
      <c r="P27">
        <f>IF(N27="","",INDEX(avaliacoes_cursos[Nota média],M27))</f>
        <v/>
      </c>
      <c r="Q27">
        <f>IF(N27="","",IF(COUNTIF(avaliacoes_cursos[curso],N27)&gt;1,N27&amp;" — "&amp;O27,N27))</f>
        <v/>
      </c>
      <c r="R27">
        <f>IF(P27="","",P27+(1000-M27)/10000000)</f>
        <v/>
      </c>
    </row>
    <row r="28">
      <c r="A28" t="n">
        <v>27</v>
      </c>
      <c r="B28">
        <f>IF(A28&gt;ROWS(avaliacoes_qualidade[escola]),"",INDEX(avaliacoes_qualidade[escola],A28))</f>
        <v/>
      </c>
      <c r="C28">
        <f>IF(B28="","",INDEX(avaliacoes_qualidade[Nota média],A28))</f>
        <v/>
      </c>
      <c r="D28">
        <f>IF(B28="","",INDEX(avaliacoes_qualidade[Avaliações],A28))</f>
        <v/>
      </c>
      <c r="E28">
        <f>IF(B28="","",IFERROR(INDEX(escolas[Column1.tipo],MATCH(B28,escolas[Column1.nome],0)),"—"))</f>
        <v/>
      </c>
      <c r="F28">
        <f>IF(B28="","",SUMPRODUCT(MAX((RIGHT(B28,LEN(enderecos_escolas[cidade])+1)=" "&amp;enderecos_escolas[cidade])*LEN(enderecos_escolas[cidade]))))</f>
        <v/>
      </c>
      <c r="G28">
        <f>IF(B28="","",IFERROR(INDEX(enderecos_escolas[estado],MATCH(1,INDEX((RIGHT(B28,LEN(enderecos_escolas[cidade])+1)=" "&amp;enderecos_escolas[cidade])*(LEN(enderecos_escolas[cidade])=F28),0),0)),"—"))</f>
        <v/>
      </c>
      <c r="H28">
        <f>IF(B28="","",IFERROR(VLOOKUP(G28,'Parâmetros'!$A$5:$B$31,2,FALSE),"Não localizada"))</f>
        <v/>
      </c>
      <c r="I28">
        <f>IF(B28="","",IFERROR(INDEX(enderecos_escolas[tipoLocalizacao],MATCH(1,INDEX((RIGHT(B28,LEN(enderecos_escolas[cidade])+1)=" "&amp;enderecos_escolas[cidade])*(LEN(enderecos_escolas[cidade])=F28),0),0)),"—"))</f>
        <v/>
      </c>
      <c r="K28">
        <f>IF(C28="","",IF(AND(OR('Ranking Escolas'!$F$4="Todas",H28='Ranking Escolas'!$F$4),OR('Ranking Escolas'!$I$4="Todos",E28='Ranking Escolas'!$I$4)),C28+(1000-A28)/10000000,""))</f>
        <v/>
      </c>
      <c r="M28" t="n">
        <v>27</v>
      </c>
      <c r="N28">
        <f>IF(M28&gt;ROWS(avaliacoes_cursos[curso]),"",INDEX(avaliacoes_cursos[curso],M28))</f>
        <v/>
      </c>
      <c r="O28">
        <f>IF(N28="","",INDEX(avaliacoes_cursos[escola],M28))</f>
        <v/>
      </c>
      <c r="P28">
        <f>IF(N28="","",INDEX(avaliacoes_cursos[Nota média],M28))</f>
        <v/>
      </c>
      <c r="Q28">
        <f>IF(N28="","",IF(COUNTIF(avaliacoes_cursos[curso],N28)&gt;1,N28&amp;" — "&amp;O28,N28))</f>
        <v/>
      </c>
      <c r="R28">
        <f>IF(P28="","",P28+(1000-M28)/10000000)</f>
        <v/>
      </c>
    </row>
    <row r="29">
      <c r="A29" t="n">
        <v>28</v>
      </c>
      <c r="B29">
        <f>IF(A29&gt;ROWS(avaliacoes_qualidade[escola]),"",INDEX(avaliacoes_qualidade[escola],A29))</f>
        <v/>
      </c>
      <c r="C29">
        <f>IF(B29="","",INDEX(avaliacoes_qualidade[Nota média],A29))</f>
        <v/>
      </c>
      <c r="D29">
        <f>IF(B29="","",INDEX(avaliacoes_qualidade[Avaliações],A29))</f>
        <v/>
      </c>
      <c r="E29">
        <f>IF(B29="","",IFERROR(INDEX(escolas[Column1.tipo],MATCH(B29,escolas[Column1.nome],0)),"—"))</f>
        <v/>
      </c>
      <c r="F29">
        <f>IF(B29="","",SUMPRODUCT(MAX((RIGHT(B29,LEN(enderecos_escolas[cidade])+1)=" "&amp;enderecos_escolas[cidade])*LEN(enderecos_escolas[cidade]))))</f>
        <v/>
      </c>
      <c r="G29">
        <f>IF(B29="","",IFERROR(INDEX(enderecos_escolas[estado],MATCH(1,INDEX((RIGHT(B29,LEN(enderecos_escolas[cidade])+1)=" "&amp;enderecos_escolas[cidade])*(LEN(enderecos_escolas[cidade])=F29),0),0)),"—"))</f>
        <v/>
      </c>
      <c r="H29">
        <f>IF(B29="","",IFERROR(VLOOKUP(G29,'Parâmetros'!$A$5:$B$31,2,FALSE),"Não localizada"))</f>
        <v/>
      </c>
      <c r="I29">
        <f>IF(B29="","",IFERROR(INDEX(enderecos_escolas[tipoLocalizacao],MATCH(1,INDEX((RIGHT(B29,LEN(enderecos_escolas[cidade])+1)=" "&amp;enderecos_escolas[cidade])*(LEN(enderecos_escolas[cidade])=F29),0),0)),"—"))</f>
        <v/>
      </c>
      <c r="K29">
        <f>IF(C29="","",IF(AND(OR('Ranking Escolas'!$F$4="Todas",H29='Ranking Escolas'!$F$4),OR('Ranking Escolas'!$I$4="Todos",E29='Ranking Escolas'!$I$4)),C29+(1000-A29)/10000000,""))</f>
        <v/>
      </c>
      <c r="M29" t="n">
        <v>28</v>
      </c>
      <c r="N29">
        <f>IF(M29&gt;ROWS(avaliacoes_cursos[curso]),"",INDEX(avaliacoes_cursos[curso],M29))</f>
        <v/>
      </c>
      <c r="O29">
        <f>IF(N29="","",INDEX(avaliacoes_cursos[escola],M29))</f>
        <v/>
      </c>
      <c r="P29">
        <f>IF(N29="","",INDEX(avaliacoes_cursos[Nota média],M29))</f>
        <v/>
      </c>
      <c r="Q29">
        <f>IF(N29="","",IF(COUNTIF(avaliacoes_cursos[curso],N29)&gt;1,N29&amp;" — "&amp;O29,N29))</f>
        <v/>
      </c>
      <c r="R29">
        <f>IF(P29="","",P29+(1000-M29)/10000000)</f>
        <v/>
      </c>
    </row>
    <row r="30">
      <c r="A30" t="n">
        <v>29</v>
      </c>
      <c r="B30">
        <f>IF(A30&gt;ROWS(avaliacoes_qualidade[escola]),"",INDEX(avaliacoes_qualidade[escola],A30))</f>
        <v/>
      </c>
      <c r="C30">
        <f>IF(B30="","",INDEX(avaliacoes_qualidade[Nota média],A30))</f>
        <v/>
      </c>
      <c r="D30">
        <f>IF(B30="","",INDEX(avaliacoes_qualidade[Avaliações],A30))</f>
        <v/>
      </c>
      <c r="E30">
        <f>IF(B30="","",IFERROR(INDEX(escolas[Column1.tipo],MATCH(B30,escolas[Column1.nome],0)),"—"))</f>
        <v/>
      </c>
      <c r="F30">
        <f>IF(B30="","",SUMPRODUCT(MAX((RIGHT(B30,LEN(enderecos_escolas[cidade])+1)=" "&amp;enderecos_escolas[cidade])*LEN(enderecos_escolas[cidade]))))</f>
        <v/>
      </c>
      <c r="G30">
        <f>IF(B30="","",IFERROR(INDEX(enderecos_escolas[estado],MATCH(1,INDEX((RIGHT(B30,LEN(enderecos_escolas[cidade])+1)=" "&amp;enderecos_escolas[cidade])*(LEN(enderecos_escolas[cidade])=F30),0),0)),"—"))</f>
        <v/>
      </c>
      <c r="H30">
        <f>IF(B30="","",IFERROR(VLOOKUP(G30,'Parâmetros'!$A$5:$B$31,2,FALSE),"Não localizada"))</f>
        <v/>
      </c>
      <c r="I30">
        <f>IF(B30="","",IFERROR(INDEX(enderecos_escolas[tipoLocalizacao],MATCH(1,INDEX((RIGHT(B30,LEN(enderecos_escolas[cidade])+1)=" "&amp;enderecos_escolas[cidade])*(LEN(enderecos_escolas[cidade])=F30),0),0)),"—"))</f>
        <v/>
      </c>
      <c r="K30">
        <f>IF(C30="","",IF(AND(OR('Ranking Escolas'!$F$4="Todas",H30='Ranking Escolas'!$F$4),OR('Ranking Escolas'!$I$4="Todos",E30='Ranking Escolas'!$I$4)),C30+(1000-A30)/10000000,""))</f>
        <v/>
      </c>
      <c r="M30" t="n">
        <v>29</v>
      </c>
      <c r="N30">
        <f>IF(M30&gt;ROWS(avaliacoes_cursos[curso]),"",INDEX(avaliacoes_cursos[curso],M30))</f>
        <v/>
      </c>
      <c r="O30">
        <f>IF(N30="","",INDEX(avaliacoes_cursos[escola],M30))</f>
        <v/>
      </c>
      <c r="P30">
        <f>IF(N30="","",INDEX(avaliacoes_cursos[Nota média],M30))</f>
        <v/>
      </c>
      <c r="Q30">
        <f>IF(N30="","",IF(COUNTIF(avaliacoes_cursos[curso],N30)&gt;1,N30&amp;" — "&amp;O30,N30))</f>
        <v/>
      </c>
      <c r="R30">
        <f>IF(P30="","",P30+(1000-M30)/10000000)</f>
        <v/>
      </c>
    </row>
    <row r="31">
      <c r="A31" t="n">
        <v>30</v>
      </c>
      <c r="B31">
        <f>IF(A31&gt;ROWS(avaliacoes_qualidade[escola]),"",INDEX(avaliacoes_qualidade[escola],A31))</f>
        <v/>
      </c>
      <c r="C31">
        <f>IF(B31="","",INDEX(avaliacoes_qualidade[Nota média],A31))</f>
        <v/>
      </c>
      <c r="D31">
        <f>IF(B31="","",INDEX(avaliacoes_qualidade[Avaliações],A31))</f>
        <v/>
      </c>
      <c r="E31">
        <f>IF(B31="","",IFERROR(INDEX(escolas[Column1.tipo],MATCH(B31,escolas[Column1.nome],0)),"—"))</f>
        <v/>
      </c>
      <c r="F31">
        <f>IF(B31="","",SUMPRODUCT(MAX((RIGHT(B31,LEN(enderecos_escolas[cidade])+1)=" "&amp;enderecos_escolas[cidade])*LEN(enderecos_escolas[cidade]))))</f>
        <v/>
      </c>
      <c r="G31">
        <f>IF(B31="","",IFERROR(INDEX(enderecos_escolas[estado],MATCH(1,INDEX((RIGHT(B31,LEN(enderecos_escolas[cidade])+1)=" "&amp;enderecos_escolas[cidade])*(LEN(enderecos_escolas[cidade])=F31),0),0)),"—"))</f>
        <v/>
      </c>
      <c r="H31">
        <f>IF(B31="","",IFERROR(VLOOKUP(G31,'Parâmetros'!$A$5:$B$31,2,FALSE),"Não localizada"))</f>
        <v/>
      </c>
      <c r="I31">
        <f>IF(B31="","",IFERROR(INDEX(enderecos_escolas[tipoLocalizacao],MATCH(1,INDEX((RIGHT(B31,LEN(enderecos_escolas[cidade])+1)=" "&amp;enderecos_escolas[cidade])*(LEN(enderecos_escolas[cidade])=F31),0),0)),"—"))</f>
        <v/>
      </c>
      <c r="K31">
        <f>IF(C31="","",IF(AND(OR('Ranking Escolas'!$F$4="Todas",H31='Ranking Escolas'!$F$4),OR('Ranking Escolas'!$I$4="Todos",E31='Ranking Escolas'!$I$4)),C31+(1000-A31)/10000000,""))</f>
        <v/>
      </c>
      <c r="M31" t="n">
        <v>30</v>
      </c>
      <c r="N31">
        <f>IF(M31&gt;ROWS(avaliacoes_cursos[curso]),"",INDEX(avaliacoes_cursos[curso],M31))</f>
        <v/>
      </c>
      <c r="O31">
        <f>IF(N31="","",INDEX(avaliacoes_cursos[escola],M31))</f>
        <v/>
      </c>
      <c r="P31">
        <f>IF(N31="","",INDEX(avaliacoes_cursos[Nota média],M31))</f>
        <v/>
      </c>
      <c r="Q31">
        <f>IF(N31="","",IF(COUNTIF(avaliacoes_cursos[curso],N31)&gt;1,N31&amp;" — "&amp;O31,N31))</f>
        <v/>
      </c>
      <c r="R31">
        <f>IF(P31="","",P31+(1000-M31)/10000000)</f>
        <v/>
      </c>
    </row>
    <row r="32">
      <c r="A32" t="n">
        <v>31</v>
      </c>
      <c r="B32">
        <f>IF(A32&gt;ROWS(avaliacoes_qualidade[escola]),"",INDEX(avaliacoes_qualidade[escola],A32))</f>
        <v/>
      </c>
      <c r="C32">
        <f>IF(B32="","",INDEX(avaliacoes_qualidade[Nota média],A32))</f>
        <v/>
      </c>
      <c r="D32">
        <f>IF(B32="","",INDEX(avaliacoes_qualidade[Avaliações],A32))</f>
        <v/>
      </c>
      <c r="E32">
        <f>IF(B32="","",IFERROR(INDEX(escolas[Column1.tipo],MATCH(B32,escolas[Column1.nome],0)),"—"))</f>
        <v/>
      </c>
      <c r="F32">
        <f>IF(B32="","",SUMPRODUCT(MAX((RIGHT(B32,LEN(enderecos_escolas[cidade])+1)=" "&amp;enderecos_escolas[cidade])*LEN(enderecos_escolas[cidade]))))</f>
        <v/>
      </c>
      <c r="G32">
        <f>IF(B32="","",IFERROR(INDEX(enderecos_escolas[estado],MATCH(1,INDEX((RIGHT(B32,LEN(enderecos_escolas[cidade])+1)=" "&amp;enderecos_escolas[cidade])*(LEN(enderecos_escolas[cidade])=F32),0),0)),"—"))</f>
        <v/>
      </c>
      <c r="H32">
        <f>IF(B32="","",IFERROR(VLOOKUP(G32,'Parâmetros'!$A$5:$B$31,2,FALSE),"Não localizada"))</f>
        <v/>
      </c>
      <c r="I32">
        <f>IF(B32="","",IFERROR(INDEX(enderecos_escolas[tipoLocalizacao],MATCH(1,INDEX((RIGHT(B32,LEN(enderecos_escolas[cidade])+1)=" "&amp;enderecos_escolas[cidade])*(LEN(enderecos_escolas[cidade])=F32),0),0)),"—"))</f>
        <v/>
      </c>
      <c r="K32">
        <f>IF(C32="","",IF(AND(OR('Ranking Escolas'!$F$4="Todas",H32='Ranking Escolas'!$F$4),OR('Ranking Escolas'!$I$4="Todos",E32='Ranking Escolas'!$I$4)),C32+(1000-A32)/10000000,""))</f>
        <v/>
      </c>
      <c r="M32" t="n">
        <v>31</v>
      </c>
      <c r="N32">
        <f>IF(M32&gt;ROWS(avaliacoes_cursos[curso]),"",INDEX(avaliacoes_cursos[curso],M32))</f>
        <v/>
      </c>
      <c r="O32">
        <f>IF(N32="","",INDEX(avaliacoes_cursos[escola],M32))</f>
        <v/>
      </c>
      <c r="P32">
        <f>IF(N32="","",INDEX(avaliacoes_cursos[Nota média],M32))</f>
        <v/>
      </c>
      <c r="Q32">
        <f>IF(N32="","",IF(COUNTIF(avaliacoes_cursos[curso],N32)&gt;1,N32&amp;" — "&amp;O32,N32))</f>
        <v/>
      </c>
      <c r="R32">
        <f>IF(P32="","",P32+(1000-M32)/10000000)</f>
        <v/>
      </c>
    </row>
    <row r="33">
      <c r="A33" t="n">
        <v>32</v>
      </c>
      <c r="B33">
        <f>IF(A33&gt;ROWS(avaliacoes_qualidade[escola]),"",INDEX(avaliacoes_qualidade[escola],A33))</f>
        <v/>
      </c>
      <c r="C33">
        <f>IF(B33="","",INDEX(avaliacoes_qualidade[Nota média],A33))</f>
        <v/>
      </c>
      <c r="D33">
        <f>IF(B33="","",INDEX(avaliacoes_qualidade[Avaliações],A33))</f>
        <v/>
      </c>
      <c r="E33">
        <f>IF(B33="","",IFERROR(INDEX(escolas[Column1.tipo],MATCH(B33,escolas[Column1.nome],0)),"—"))</f>
        <v/>
      </c>
      <c r="F33">
        <f>IF(B33="","",SUMPRODUCT(MAX((RIGHT(B33,LEN(enderecos_escolas[cidade])+1)=" "&amp;enderecos_escolas[cidade])*LEN(enderecos_escolas[cidade]))))</f>
        <v/>
      </c>
      <c r="G33">
        <f>IF(B33="","",IFERROR(INDEX(enderecos_escolas[estado],MATCH(1,INDEX((RIGHT(B33,LEN(enderecos_escolas[cidade])+1)=" "&amp;enderecos_escolas[cidade])*(LEN(enderecos_escolas[cidade])=F33),0),0)),"—"))</f>
        <v/>
      </c>
      <c r="H33">
        <f>IF(B33="","",IFERROR(VLOOKUP(G33,'Parâmetros'!$A$5:$B$31,2,FALSE),"Não localizada"))</f>
        <v/>
      </c>
      <c r="I33">
        <f>IF(B33="","",IFERROR(INDEX(enderecos_escolas[tipoLocalizacao],MATCH(1,INDEX((RIGHT(B33,LEN(enderecos_escolas[cidade])+1)=" "&amp;enderecos_escolas[cidade])*(LEN(enderecos_escolas[cidade])=F33),0),0)),"—"))</f>
        <v/>
      </c>
      <c r="K33">
        <f>IF(C33="","",IF(AND(OR('Ranking Escolas'!$F$4="Todas",H33='Ranking Escolas'!$F$4),OR('Ranking Escolas'!$I$4="Todos",E33='Ranking Escolas'!$I$4)),C33+(1000-A33)/10000000,""))</f>
        <v/>
      </c>
      <c r="M33" t="n">
        <v>32</v>
      </c>
      <c r="N33">
        <f>IF(M33&gt;ROWS(avaliacoes_cursos[curso]),"",INDEX(avaliacoes_cursos[curso],M33))</f>
        <v/>
      </c>
      <c r="O33">
        <f>IF(N33="","",INDEX(avaliacoes_cursos[escola],M33))</f>
        <v/>
      </c>
      <c r="P33">
        <f>IF(N33="","",INDEX(avaliacoes_cursos[Nota média],M33))</f>
        <v/>
      </c>
      <c r="Q33">
        <f>IF(N33="","",IF(COUNTIF(avaliacoes_cursos[curso],N33)&gt;1,N33&amp;" — "&amp;O33,N33))</f>
        <v/>
      </c>
      <c r="R33">
        <f>IF(P33="","",P33+(1000-M33)/10000000)</f>
        <v/>
      </c>
    </row>
    <row r="34">
      <c r="A34" t="n">
        <v>33</v>
      </c>
      <c r="B34">
        <f>IF(A34&gt;ROWS(avaliacoes_qualidade[escola]),"",INDEX(avaliacoes_qualidade[escola],A34))</f>
        <v/>
      </c>
      <c r="C34">
        <f>IF(B34="","",INDEX(avaliacoes_qualidade[Nota média],A34))</f>
        <v/>
      </c>
      <c r="D34">
        <f>IF(B34="","",INDEX(avaliacoes_qualidade[Avaliações],A34))</f>
        <v/>
      </c>
      <c r="E34">
        <f>IF(B34="","",IFERROR(INDEX(escolas[Column1.tipo],MATCH(B34,escolas[Column1.nome],0)),"—"))</f>
        <v/>
      </c>
      <c r="F34">
        <f>IF(B34="","",SUMPRODUCT(MAX((RIGHT(B34,LEN(enderecos_escolas[cidade])+1)=" "&amp;enderecos_escolas[cidade])*LEN(enderecos_escolas[cidade]))))</f>
        <v/>
      </c>
      <c r="G34">
        <f>IF(B34="","",IFERROR(INDEX(enderecos_escolas[estado],MATCH(1,INDEX((RIGHT(B34,LEN(enderecos_escolas[cidade])+1)=" "&amp;enderecos_escolas[cidade])*(LEN(enderecos_escolas[cidade])=F34),0),0)),"—"))</f>
        <v/>
      </c>
      <c r="H34">
        <f>IF(B34="","",IFERROR(VLOOKUP(G34,'Parâmetros'!$A$5:$B$31,2,FALSE),"Não localizada"))</f>
        <v/>
      </c>
      <c r="I34">
        <f>IF(B34="","",IFERROR(INDEX(enderecos_escolas[tipoLocalizacao],MATCH(1,INDEX((RIGHT(B34,LEN(enderecos_escolas[cidade])+1)=" "&amp;enderecos_escolas[cidade])*(LEN(enderecos_escolas[cidade])=F34),0),0)),"—"))</f>
        <v/>
      </c>
      <c r="K34">
        <f>IF(C34="","",IF(AND(OR('Ranking Escolas'!$F$4="Todas",H34='Ranking Escolas'!$F$4),OR('Ranking Escolas'!$I$4="Todos",E34='Ranking Escolas'!$I$4)),C34+(1000-A34)/10000000,""))</f>
        <v/>
      </c>
      <c r="M34" t="n">
        <v>33</v>
      </c>
      <c r="N34">
        <f>IF(M34&gt;ROWS(avaliacoes_cursos[curso]),"",INDEX(avaliacoes_cursos[curso],M34))</f>
        <v/>
      </c>
      <c r="O34">
        <f>IF(N34="","",INDEX(avaliacoes_cursos[escola],M34))</f>
        <v/>
      </c>
      <c r="P34">
        <f>IF(N34="","",INDEX(avaliacoes_cursos[Nota média],M34))</f>
        <v/>
      </c>
      <c r="Q34">
        <f>IF(N34="","",IF(COUNTIF(avaliacoes_cursos[curso],N34)&gt;1,N34&amp;" — "&amp;O34,N34))</f>
        <v/>
      </c>
      <c r="R34">
        <f>IF(P34="","",P34+(1000-M34)/10000000)</f>
        <v/>
      </c>
    </row>
    <row r="35">
      <c r="A35" t="n">
        <v>34</v>
      </c>
      <c r="B35">
        <f>IF(A35&gt;ROWS(avaliacoes_qualidade[escola]),"",INDEX(avaliacoes_qualidade[escola],A35))</f>
        <v/>
      </c>
      <c r="C35">
        <f>IF(B35="","",INDEX(avaliacoes_qualidade[Nota média],A35))</f>
        <v/>
      </c>
      <c r="D35">
        <f>IF(B35="","",INDEX(avaliacoes_qualidade[Avaliações],A35))</f>
        <v/>
      </c>
      <c r="E35">
        <f>IF(B35="","",IFERROR(INDEX(escolas[Column1.tipo],MATCH(B35,escolas[Column1.nome],0)),"—"))</f>
        <v/>
      </c>
      <c r="F35">
        <f>IF(B35="","",SUMPRODUCT(MAX((RIGHT(B35,LEN(enderecos_escolas[cidade])+1)=" "&amp;enderecos_escolas[cidade])*LEN(enderecos_escolas[cidade]))))</f>
        <v/>
      </c>
      <c r="G35">
        <f>IF(B35="","",IFERROR(INDEX(enderecos_escolas[estado],MATCH(1,INDEX((RIGHT(B35,LEN(enderecos_escolas[cidade])+1)=" "&amp;enderecos_escolas[cidade])*(LEN(enderecos_escolas[cidade])=F35),0),0)),"—"))</f>
        <v/>
      </c>
      <c r="H35">
        <f>IF(B35="","",IFERROR(VLOOKUP(G35,'Parâmetros'!$A$5:$B$31,2,FALSE),"Não localizada"))</f>
        <v/>
      </c>
      <c r="I35">
        <f>IF(B35="","",IFERROR(INDEX(enderecos_escolas[tipoLocalizacao],MATCH(1,INDEX((RIGHT(B35,LEN(enderecos_escolas[cidade])+1)=" "&amp;enderecos_escolas[cidade])*(LEN(enderecos_escolas[cidade])=F35),0),0)),"—"))</f>
        <v/>
      </c>
      <c r="K35">
        <f>IF(C35="","",IF(AND(OR('Ranking Escolas'!$F$4="Todas",H35='Ranking Escolas'!$F$4),OR('Ranking Escolas'!$I$4="Todos",E35='Ranking Escolas'!$I$4)),C35+(1000-A35)/10000000,""))</f>
        <v/>
      </c>
      <c r="M35" t="n">
        <v>34</v>
      </c>
      <c r="N35">
        <f>IF(M35&gt;ROWS(avaliacoes_cursos[curso]),"",INDEX(avaliacoes_cursos[curso],M35))</f>
        <v/>
      </c>
      <c r="O35">
        <f>IF(N35="","",INDEX(avaliacoes_cursos[escola],M35))</f>
        <v/>
      </c>
      <c r="P35">
        <f>IF(N35="","",INDEX(avaliacoes_cursos[Nota média],M35))</f>
        <v/>
      </c>
      <c r="Q35">
        <f>IF(N35="","",IF(COUNTIF(avaliacoes_cursos[curso],N35)&gt;1,N35&amp;" — "&amp;O35,N35))</f>
        <v/>
      </c>
      <c r="R35">
        <f>IF(P35="","",P35+(1000-M35)/10000000)</f>
        <v/>
      </c>
    </row>
    <row r="36">
      <c r="A36" t="n">
        <v>35</v>
      </c>
      <c r="B36">
        <f>IF(A36&gt;ROWS(avaliacoes_qualidade[escola]),"",INDEX(avaliacoes_qualidade[escola],A36))</f>
        <v/>
      </c>
      <c r="C36">
        <f>IF(B36="","",INDEX(avaliacoes_qualidade[Nota média],A36))</f>
        <v/>
      </c>
      <c r="D36">
        <f>IF(B36="","",INDEX(avaliacoes_qualidade[Avaliações],A36))</f>
        <v/>
      </c>
      <c r="E36">
        <f>IF(B36="","",IFERROR(INDEX(escolas[Column1.tipo],MATCH(B36,escolas[Column1.nome],0)),"—"))</f>
        <v/>
      </c>
      <c r="F36">
        <f>IF(B36="","",SUMPRODUCT(MAX((RIGHT(B36,LEN(enderecos_escolas[cidade])+1)=" "&amp;enderecos_escolas[cidade])*LEN(enderecos_escolas[cidade]))))</f>
        <v/>
      </c>
      <c r="G36">
        <f>IF(B36="","",IFERROR(INDEX(enderecos_escolas[estado],MATCH(1,INDEX((RIGHT(B36,LEN(enderecos_escolas[cidade])+1)=" "&amp;enderecos_escolas[cidade])*(LEN(enderecos_escolas[cidade])=F36),0),0)),"—"))</f>
        <v/>
      </c>
      <c r="H36">
        <f>IF(B36="","",IFERROR(VLOOKUP(G36,'Parâmetros'!$A$5:$B$31,2,FALSE),"Não localizada"))</f>
        <v/>
      </c>
      <c r="I36">
        <f>IF(B36="","",IFERROR(INDEX(enderecos_escolas[tipoLocalizacao],MATCH(1,INDEX((RIGHT(B36,LEN(enderecos_escolas[cidade])+1)=" "&amp;enderecos_escolas[cidade])*(LEN(enderecos_escolas[cidade])=F36),0),0)),"—"))</f>
        <v/>
      </c>
      <c r="K36">
        <f>IF(C36="","",IF(AND(OR('Ranking Escolas'!$F$4="Todas",H36='Ranking Escolas'!$F$4),OR('Ranking Escolas'!$I$4="Todos",E36='Ranking Escolas'!$I$4)),C36+(1000-A36)/10000000,""))</f>
        <v/>
      </c>
      <c r="M36" t="n">
        <v>35</v>
      </c>
      <c r="N36">
        <f>IF(M36&gt;ROWS(avaliacoes_cursos[curso]),"",INDEX(avaliacoes_cursos[curso],M36))</f>
        <v/>
      </c>
      <c r="O36">
        <f>IF(N36="","",INDEX(avaliacoes_cursos[escola],M36))</f>
        <v/>
      </c>
      <c r="P36">
        <f>IF(N36="","",INDEX(avaliacoes_cursos[Nota média],M36))</f>
        <v/>
      </c>
      <c r="Q36">
        <f>IF(N36="","",IF(COUNTIF(avaliacoes_cursos[curso],N36)&gt;1,N36&amp;" — "&amp;O36,N36))</f>
        <v/>
      </c>
      <c r="R36">
        <f>IF(P36="","",P36+(1000-M36)/10000000)</f>
        <v/>
      </c>
    </row>
    <row r="37">
      <c r="A37" t="n">
        <v>36</v>
      </c>
      <c r="B37">
        <f>IF(A37&gt;ROWS(avaliacoes_qualidade[escola]),"",INDEX(avaliacoes_qualidade[escola],A37))</f>
        <v/>
      </c>
      <c r="C37">
        <f>IF(B37="","",INDEX(avaliacoes_qualidade[Nota média],A37))</f>
        <v/>
      </c>
      <c r="D37">
        <f>IF(B37="","",INDEX(avaliacoes_qualidade[Avaliações],A37))</f>
        <v/>
      </c>
      <c r="E37">
        <f>IF(B37="","",IFERROR(INDEX(escolas[Column1.tipo],MATCH(B37,escolas[Column1.nome],0)),"—"))</f>
        <v/>
      </c>
      <c r="F37">
        <f>IF(B37="","",SUMPRODUCT(MAX((RIGHT(B37,LEN(enderecos_escolas[cidade])+1)=" "&amp;enderecos_escolas[cidade])*LEN(enderecos_escolas[cidade]))))</f>
        <v/>
      </c>
      <c r="G37">
        <f>IF(B37="","",IFERROR(INDEX(enderecos_escolas[estado],MATCH(1,INDEX((RIGHT(B37,LEN(enderecos_escolas[cidade])+1)=" "&amp;enderecos_escolas[cidade])*(LEN(enderecos_escolas[cidade])=F37),0),0)),"—"))</f>
        <v/>
      </c>
      <c r="H37">
        <f>IF(B37="","",IFERROR(VLOOKUP(G37,'Parâmetros'!$A$5:$B$31,2,FALSE),"Não localizada"))</f>
        <v/>
      </c>
      <c r="I37">
        <f>IF(B37="","",IFERROR(INDEX(enderecos_escolas[tipoLocalizacao],MATCH(1,INDEX((RIGHT(B37,LEN(enderecos_escolas[cidade])+1)=" "&amp;enderecos_escolas[cidade])*(LEN(enderecos_escolas[cidade])=F37),0),0)),"—"))</f>
        <v/>
      </c>
      <c r="K37">
        <f>IF(C37="","",IF(AND(OR('Ranking Escolas'!$F$4="Todas",H37='Ranking Escolas'!$F$4),OR('Ranking Escolas'!$I$4="Todos",E37='Ranking Escolas'!$I$4)),C37+(1000-A37)/10000000,""))</f>
        <v/>
      </c>
      <c r="M37" t="n">
        <v>36</v>
      </c>
      <c r="N37">
        <f>IF(M37&gt;ROWS(avaliacoes_cursos[curso]),"",INDEX(avaliacoes_cursos[curso],M37))</f>
        <v/>
      </c>
      <c r="O37">
        <f>IF(N37="","",INDEX(avaliacoes_cursos[escola],M37))</f>
        <v/>
      </c>
      <c r="P37">
        <f>IF(N37="","",INDEX(avaliacoes_cursos[Nota média],M37))</f>
        <v/>
      </c>
      <c r="Q37">
        <f>IF(N37="","",IF(COUNTIF(avaliacoes_cursos[curso],N37)&gt;1,N37&amp;" — "&amp;O37,N37))</f>
        <v/>
      </c>
      <c r="R37">
        <f>IF(P37="","",P37+(1000-M37)/10000000)</f>
        <v/>
      </c>
    </row>
    <row r="38">
      <c r="A38" t="n">
        <v>37</v>
      </c>
      <c r="B38">
        <f>IF(A38&gt;ROWS(avaliacoes_qualidade[escola]),"",INDEX(avaliacoes_qualidade[escola],A38))</f>
        <v/>
      </c>
      <c r="C38">
        <f>IF(B38="","",INDEX(avaliacoes_qualidade[Nota média],A38))</f>
        <v/>
      </c>
      <c r="D38">
        <f>IF(B38="","",INDEX(avaliacoes_qualidade[Avaliações],A38))</f>
        <v/>
      </c>
      <c r="E38">
        <f>IF(B38="","",IFERROR(INDEX(escolas[Column1.tipo],MATCH(B38,escolas[Column1.nome],0)),"—"))</f>
        <v/>
      </c>
      <c r="F38">
        <f>IF(B38="","",SUMPRODUCT(MAX((RIGHT(B38,LEN(enderecos_escolas[cidade])+1)=" "&amp;enderecos_escolas[cidade])*LEN(enderecos_escolas[cidade]))))</f>
        <v/>
      </c>
      <c r="G38">
        <f>IF(B38="","",IFERROR(INDEX(enderecos_escolas[estado],MATCH(1,INDEX((RIGHT(B38,LEN(enderecos_escolas[cidade])+1)=" "&amp;enderecos_escolas[cidade])*(LEN(enderecos_escolas[cidade])=F38),0),0)),"—"))</f>
        <v/>
      </c>
      <c r="H38">
        <f>IF(B38="","",IFERROR(VLOOKUP(G38,'Parâmetros'!$A$5:$B$31,2,FALSE),"Não localizada"))</f>
        <v/>
      </c>
      <c r="I38">
        <f>IF(B38="","",IFERROR(INDEX(enderecos_escolas[tipoLocalizacao],MATCH(1,INDEX((RIGHT(B38,LEN(enderecos_escolas[cidade])+1)=" "&amp;enderecos_escolas[cidade])*(LEN(enderecos_escolas[cidade])=F38),0),0)),"—"))</f>
        <v/>
      </c>
      <c r="K38">
        <f>IF(C38="","",IF(AND(OR('Ranking Escolas'!$F$4="Todas",H38='Ranking Escolas'!$F$4),OR('Ranking Escolas'!$I$4="Todos",E38='Ranking Escolas'!$I$4)),C38+(1000-A38)/10000000,""))</f>
        <v/>
      </c>
      <c r="M38" t="n">
        <v>37</v>
      </c>
      <c r="N38">
        <f>IF(M38&gt;ROWS(avaliacoes_cursos[curso]),"",INDEX(avaliacoes_cursos[curso],M38))</f>
        <v/>
      </c>
      <c r="O38">
        <f>IF(N38="","",INDEX(avaliacoes_cursos[escola],M38))</f>
        <v/>
      </c>
      <c r="P38">
        <f>IF(N38="","",INDEX(avaliacoes_cursos[Nota média],M38))</f>
        <v/>
      </c>
      <c r="Q38">
        <f>IF(N38="","",IF(COUNTIF(avaliacoes_cursos[curso],N38)&gt;1,N38&amp;" — "&amp;O38,N38))</f>
        <v/>
      </c>
      <c r="R38">
        <f>IF(P38="","",P38+(1000-M38)/10000000)</f>
        <v/>
      </c>
    </row>
    <row r="39">
      <c r="A39" t="n">
        <v>38</v>
      </c>
      <c r="B39">
        <f>IF(A39&gt;ROWS(avaliacoes_qualidade[escola]),"",INDEX(avaliacoes_qualidade[escola],A39))</f>
        <v/>
      </c>
      <c r="C39">
        <f>IF(B39="","",INDEX(avaliacoes_qualidade[Nota média],A39))</f>
        <v/>
      </c>
      <c r="D39">
        <f>IF(B39="","",INDEX(avaliacoes_qualidade[Avaliações],A39))</f>
        <v/>
      </c>
      <c r="E39">
        <f>IF(B39="","",IFERROR(INDEX(escolas[Column1.tipo],MATCH(B39,escolas[Column1.nome],0)),"—"))</f>
        <v/>
      </c>
      <c r="F39">
        <f>IF(B39="","",SUMPRODUCT(MAX((RIGHT(B39,LEN(enderecos_escolas[cidade])+1)=" "&amp;enderecos_escolas[cidade])*LEN(enderecos_escolas[cidade]))))</f>
        <v/>
      </c>
      <c r="G39">
        <f>IF(B39="","",IFERROR(INDEX(enderecos_escolas[estado],MATCH(1,INDEX((RIGHT(B39,LEN(enderecos_escolas[cidade])+1)=" "&amp;enderecos_escolas[cidade])*(LEN(enderecos_escolas[cidade])=F39),0),0)),"—"))</f>
        <v/>
      </c>
      <c r="H39">
        <f>IF(B39="","",IFERROR(VLOOKUP(G39,'Parâmetros'!$A$5:$B$31,2,FALSE),"Não localizada"))</f>
        <v/>
      </c>
      <c r="I39">
        <f>IF(B39="","",IFERROR(INDEX(enderecos_escolas[tipoLocalizacao],MATCH(1,INDEX((RIGHT(B39,LEN(enderecos_escolas[cidade])+1)=" "&amp;enderecos_escolas[cidade])*(LEN(enderecos_escolas[cidade])=F39),0),0)),"—"))</f>
        <v/>
      </c>
      <c r="K39">
        <f>IF(C39="","",IF(AND(OR('Ranking Escolas'!$F$4="Todas",H39='Ranking Escolas'!$F$4),OR('Ranking Escolas'!$I$4="Todos",E39='Ranking Escolas'!$I$4)),C39+(1000-A39)/10000000,""))</f>
        <v/>
      </c>
      <c r="M39" t="n">
        <v>38</v>
      </c>
      <c r="N39">
        <f>IF(M39&gt;ROWS(avaliacoes_cursos[curso]),"",INDEX(avaliacoes_cursos[curso],M39))</f>
        <v/>
      </c>
      <c r="O39">
        <f>IF(N39="","",INDEX(avaliacoes_cursos[escola],M39))</f>
        <v/>
      </c>
      <c r="P39">
        <f>IF(N39="","",INDEX(avaliacoes_cursos[Nota média],M39))</f>
        <v/>
      </c>
      <c r="Q39">
        <f>IF(N39="","",IF(COUNTIF(avaliacoes_cursos[curso],N39)&gt;1,N39&amp;" — "&amp;O39,N39))</f>
        <v/>
      </c>
      <c r="R39">
        <f>IF(P39="","",P39+(1000-M39)/10000000)</f>
        <v/>
      </c>
    </row>
    <row r="40">
      <c r="A40" t="n">
        <v>39</v>
      </c>
      <c r="B40">
        <f>IF(A40&gt;ROWS(avaliacoes_qualidade[escola]),"",INDEX(avaliacoes_qualidade[escola],A40))</f>
        <v/>
      </c>
      <c r="C40">
        <f>IF(B40="","",INDEX(avaliacoes_qualidade[Nota média],A40))</f>
        <v/>
      </c>
      <c r="D40">
        <f>IF(B40="","",INDEX(avaliacoes_qualidade[Avaliações],A40))</f>
        <v/>
      </c>
      <c r="E40">
        <f>IF(B40="","",IFERROR(INDEX(escolas[Column1.tipo],MATCH(B40,escolas[Column1.nome],0)),"—"))</f>
        <v/>
      </c>
      <c r="F40">
        <f>IF(B40="","",SUMPRODUCT(MAX((RIGHT(B40,LEN(enderecos_escolas[cidade])+1)=" "&amp;enderecos_escolas[cidade])*LEN(enderecos_escolas[cidade]))))</f>
        <v/>
      </c>
      <c r="G40">
        <f>IF(B40="","",IFERROR(INDEX(enderecos_escolas[estado],MATCH(1,INDEX((RIGHT(B40,LEN(enderecos_escolas[cidade])+1)=" "&amp;enderecos_escolas[cidade])*(LEN(enderecos_escolas[cidade])=F40),0),0)),"—"))</f>
        <v/>
      </c>
      <c r="H40">
        <f>IF(B40="","",IFERROR(VLOOKUP(G40,'Parâmetros'!$A$5:$B$31,2,FALSE),"Não localizada"))</f>
        <v/>
      </c>
      <c r="I40">
        <f>IF(B40="","",IFERROR(INDEX(enderecos_escolas[tipoLocalizacao],MATCH(1,INDEX((RIGHT(B40,LEN(enderecos_escolas[cidade])+1)=" "&amp;enderecos_escolas[cidade])*(LEN(enderecos_escolas[cidade])=F40),0),0)),"—"))</f>
        <v/>
      </c>
      <c r="K40">
        <f>IF(C40="","",IF(AND(OR('Ranking Escolas'!$F$4="Todas",H40='Ranking Escolas'!$F$4),OR('Ranking Escolas'!$I$4="Todos",E40='Ranking Escolas'!$I$4)),C40+(1000-A40)/10000000,""))</f>
        <v/>
      </c>
      <c r="M40" t="n">
        <v>39</v>
      </c>
      <c r="N40">
        <f>IF(M40&gt;ROWS(avaliacoes_cursos[curso]),"",INDEX(avaliacoes_cursos[curso],M40))</f>
        <v/>
      </c>
      <c r="O40">
        <f>IF(N40="","",INDEX(avaliacoes_cursos[escola],M40))</f>
        <v/>
      </c>
      <c r="P40">
        <f>IF(N40="","",INDEX(avaliacoes_cursos[Nota média],M40))</f>
        <v/>
      </c>
      <c r="Q40">
        <f>IF(N40="","",IF(COUNTIF(avaliacoes_cursos[curso],N40)&gt;1,N40&amp;" — "&amp;O40,N40))</f>
        <v/>
      </c>
      <c r="R40">
        <f>IF(P40="","",P40+(1000-M40)/10000000)</f>
        <v/>
      </c>
    </row>
    <row r="41">
      <c r="A41" t="n">
        <v>40</v>
      </c>
      <c r="B41">
        <f>IF(A41&gt;ROWS(avaliacoes_qualidade[escola]),"",INDEX(avaliacoes_qualidade[escola],A41))</f>
        <v/>
      </c>
      <c r="C41">
        <f>IF(B41="","",INDEX(avaliacoes_qualidade[Nota média],A41))</f>
        <v/>
      </c>
      <c r="D41">
        <f>IF(B41="","",INDEX(avaliacoes_qualidade[Avaliações],A41))</f>
        <v/>
      </c>
      <c r="E41">
        <f>IF(B41="","",IFERROR(INDEX(escolas[Column1.tipo],MATCH(B41,escolas[Column1.nome],0)),"—"))</f>
        <v/>
      </c>
      <c r="F41">
        <f>IF(B41="","",SUMPRODUCT(MAX((RIGHT(B41,LEN(enderecos_escolas[cidade])+1)=" "&amp;enderecos_escolas[cidade])*LEN(enderecos_escolas[cidade]))))</f>
        <v/>
      </c>
      <c r="G41">
        <f>IF(B41="","",IFERROR(INDEX(enderecos_escolas[estado],MATCH(1,INDEX((RIGHT(B41,LEN(enderecos_escolas[cidade])+1)=" "&amp;enderecos_escolas[cidade])*(LEN(enderecos_escolas[cidade])=F41),0),0)),"—"))</f>
        <v/>
      </c>
      <c r="H41">
        <f>IF(B41="","",IFERROR(VLOOKUP(G41,'Parâmetros'!$A$5:$B$31,2,FALSE),"Não localizada"))</f>
        <v/>
      </c>
      <c r="I41">
        <f>IF(B41="","",IFERROR(INDEX(enderecos_escolas[tipoLocalizacao],MATCH(1,INDEX((RIGHT(B41,LEN(enderecos_escolas[cidade])+1)=" "&amp;enderecos_escolas[cidade])*(LEN(enderecos_escolas[cidade])=F41),0),0)),"—"))</f>
        <v/>
      </c>
      <c r="K41">
        <f>IF(C41="","",IF(AND(OR('Ranking Escolas'!$F$4="Todas",H41='Ranking Escolas'!$F$4),OR('Ranking Escolas'!$I$4="Todos",E41='Ranking Escolas'!$I$4)),C41+(1000-A41)/10000000,""))</f>
        <v/>
      </c>
      <c r="M41" t="n">
        <v>40</v>
      </c>
      <c r="N41">
        <f>IF(M41&gt;ROWS(avaliacoes_cursos[curso]),"",INDEX(avaliacoes_cursos[curso],M41))</f>
        <v/>
      </c>
      <c r="O41">
        <f>IF(N41="","",INDEX(avaliacoes_cursos[escola],M41))</f>
        <v/>
      </c>
      <c r="P41">
        <f>IF(N41="","",INDEX(avaliacoes_cursos[Nota média],M41))</f>
        <v/>
      </c>
      <c r="Q41">
        <f>IF(N41="","",IF(COUNTIF(avaliacoes_cursos[curso],N41)&gt;1,N41&amp;" — "&amp;O41,N41))</f>
        <v/>
      </c>
      <c r="R41">
        <f>IF(P41="","",P41+(1000-M41)/10000000)</f>
        <v/>
      </c>
    </row>
    <row r="42">
      <c r="A42" t="n">
        <v>41</v>
      </c>
      <c r="B42">
        <f>IF(A42&gt;ROWS(avaliacoes_qualidade[escola]),"",INDEX(avaliacoes_qualidade[escola],A42))</f>
        <v/>
      </c>
      <c r="C42">
        <f>IF(B42="","",INDEX(avaliacoes_qualidade[Nota média],A42))</f>
        <v/>
      </c>
      <c r="D42">
        <f>IF(B42="","",INDEX(avaliacoes_qualidade[Avaliações],A42))</f>
        <v/>
      </c>
      <c r="E42">
        <f>IF(B42="","",IFERROR(INDEX(escolas[Column1.tipo],MATCH(B42,escolas[Column1.nome],0)),"—"))</f>
        <v/>
      </c>
      <c r="F42">
        <f>IF(B42="","",SUMPRODUCT(MAX((RIGHT(B42,LEN(enderecos_escolas[cidade])+1)=" "&amp;enderecos_escolas[cidade])*LEN(enderecos_escolas[cidade]))))</f>
        <v/>
      </c>
      <c r="G42">
        <f>IF(B42="","",IFERROR(INDEX(enderecos_escolas[estado],MATCH(1,INDEX((RIGHT(B42,LEN(enderecos_escolas[cidade])+1)=" "&amp;enderecos_escolas[cidade])*(LEN(enderecos_escolas[cidade])=F42),0),0)),"—"))</f>
        <v/>
      </c>
      <c r="H42">
        <f>IF(B42="","",IFERROR(VLOOKUP(G42,'Parâmetros'!$A$5:$B$31,2,FALSE),"Não localizada"))</f>
        <v/>
      </c>
      <c r="I42">
        <f>IF(B42="","",IFERROR(INDEX(enderecos_escolas[tipoLocalizacao],MATCH(1,INDEX((RIGHT(B42,LEN(enderecos_escolas[cidade])+1)=" "&amp;enderecos_escolas[cidade])*(LEN(enderecos_escolas[cidade])=F42),0),0)),"—"))</f>
        <v/>
      </c>
      <c r="K42">
        <f>IF(C42="","",IF(AND(OR('Ranking Escolas'!$F$4="Todas",H42='Ranking Escolas'!$F$4),OR('Ranking Escolas'!$I$4="Todos",E42='Ranking Escolas'!$I$4)),C42+(1000-A42)/10000000,""))</f>
        <v/>
      </c>
      <c r="M42" t="n">
        <v>41</v>
      </c>
      <c r="N42">
        <f>IF(M42&gt;ROWS(avaliacoes_cursos[curso]),"",INDEX(avaliacoes_cursos[curso],M42))</f>
        <v/>
      </c>
      <c r="O42">
        <f>IF(N42="","",INDEX(avaliacoes_cursos[escola],M42))</f>
        <v/>
      </c>
      <c r="P42">
        <f>IF(N42="","",INDEX(avaliacoes_cursos[Nota média],M42))</f>
        <v/>
      </c>
      <c r="Q42">
        <f>IF(N42="","",IF(COUNTIF(avaliacoes_cursos[curso],N42)&gt;1,N42&amp;" — "&amp;O42,N42))</f>
        <v/>
      </c>
      <c r="R42">
        <f>IF(P42="","",P42+(1000-M42)/10000000)</f>
        <v/>
      </c>
    </row>
    <row r="43">
      <c r="A43" t="n">
        <v>42</v>
      </c>
      <c r="B43">
        <f>IF(A43&gt;ROWS(avaliacoes_qualidade[escola]),"",INDEX(avaliacoes_qualidade[escola],A43))</f>
        <v/>
      </c>
      <c r="C43">
        <f>IF(B43="","",INDEX(avaliacoes_qualidade[Nota média],A43))</f>
        <v/>
      </c>
      <c r="D43">
        <f>IF(B43="","",INDEX(avaliacoes_qualidade[Avaliações],A43))</f>
        <v/>
      </c>
      <c r="E43">
        <f>IF(B43="","",IFERROR(INDEX(escolas[Column1.tipo],MATCH(B43,escolas[Column1.nome],0)),"—"))</f>
        <v/>
      </c>
      <c r="F43">
        <f>IF(B43="","",SUMPRODUCT(MAX((RIGHT(B43,LEN(enderecos_escolas[cidade])+1)=" "&amp;enderecos_escolas[cidade])*LEN(enderecos_escolas[cidade]))))</f>
        <v/>
      </c>
      <c r="G43">
        <f>IF(B43="","",IFERROR(INDEX(enderecos_escolas[estado],MATCH(1,INDEX((RIGHT(B43,LEN(enderecos_escolas[cidade])+1)=" "&amp;enderecos_escolas[cidade])*(LEN(enderecos_escolas[cidade])=F43),0),0)),"—"))</f>
        <v/>
      </c>
      <c r="H43">
        <f>IF(B43="","",IFERROR(VLOOKUP(G43,'Parâmetros'!$A$5:$B$31,2,FALSE),"Não localizada"))</f>
        <v/>
      </c>
      <c r="I43">
        <f>IF(B43="","",IFERROR(INDEX(enderecos_escolas[tipoLocalizacao],MATCH(1,INDEX((RIGHT(B43,LEN(enderecos_escolas[cidade])+1)=" "&amp;enderecos_escolas[cidade])*(LEN(enderecos_escolas[cidade])=F43),0),0)),"—"))</f>
        <v/>
      </c>
      <c r="K43">
        <f>IF(C43="","",IF(AND(OR('Ranking Escolas'!$F$4="Todas",H43='Ranking Escolas'!$F$4),OR('Ranking Escolas'!$I$4="Todos",E43='Ranking Escolas'!$I$4)),C43+(1000-A43)/10000000,""))</f>
        <v/>
      </c>
      <c r="M43" t="n">
        <v>42</v>
      </c>
      <c r="N43">
        <f>IF(M43&gt;ROWS(avaliacoes_cursos[curso]),"",INDEX(avaliacoes_cursos[curso],M43))</f>
        <v/>
      </c>
      <c r="O43">
        <f>IF(N43="","",INDEX(avaliacoes_cursos[escola],M43))</f>
        <v/>
      </c>
      <c r="P43">
        <f>IF(N43="","",INDEX(avaliacoes_cursos[Nota média],M43))</f>
        <v/>
      </c>
      <c r="Q43">
        <f>IF(N43="","",IF(COUNTIF(avaliacoes_cursos[curso],N43)&gt;1,N43&amp;" — "&amp;O43,N43))</f>
        <v/>
      </c>
      <c r="R43">
        <f>IF(P43="","",P43+(1000-M43)/10000000)</f>
        <v/>
      </c>
    </row>
    <row r="44">
      <c r="A44" t="n">
        <v>43</v>
      </c>
      <c r="B44">
        <f>IF(A44&gt;ROWS(avaliacoes_qualidade[escola]),"",INDEX(avaliacoes_qualidade[escola],A44))</f>
        <v/>
      </c>
      <c r="C44">
        <f>IF(B44="","",INDEX(avaliacoes_qualidade[Nota média],A44))</f>
        <v/>
      </c>
      <c r="D44">
        <f>IF(B44="","",INDEX(avaliacoes_qualidade[Avaliações],A44))</f>
        <v/>
      </c>
      <c r="E44">
        <f>IF(B44="","",IFERROR(INDEX(escolas[Column1.tipo],MATCH(B44,escolas[Column1.nome],0)),"—"))</f>
        <v/>
      </c>
      <c r="F44">
        <f>IF(B44="","",SUMPRODUCT(MAX((RIGHT(B44,LEN(enderecos_escolas[cidade])+1)=" "&amp;enderecos_escolas[cidade])*LEN(enderecos_escolas[cidade]))))</f>
        <v/>
      </c>
      <c r="G44">
        <f>IF(B44="","",IFERROR(INDEX(enderecos_escolas[estado],MATCH(1,INDEX((RIGHT(B44,LEN(enderecos_escolas[cidade])+1)=" "&amp;enderecos_escolas[cidade])*(LEN(enderecos_escolas[cidade])=F44),0),0)),"—"))</f>
        <v/>
      </c>
      <c r="H44">
        <f>IF(B44="","",IFERROR(VLOOKUP(G44,'Parâmetros'!$A$5:$B$31,2,FALSE),"Não localizada"))</f>
        <v/>
      </c>
      <c r="I44">
        <f>IF(B44="","",IFERROR(INDEX(enderecos_escolas[tipoLocalizacao],MATCH(1,INDEX((RIGHT(B44,LEN(enderecos_escolas[cidade])+1)=" "&amp;enderecos_escolas[cidade])*(LEN(enderecos_escolas[cidade])=F44),0),0)),"—"))</f>
        <v/>
      </c>
      <c r="K44">
        <f>IF(C44="","",IF(AND(OR('Ranking Escolas'!$F$4="Todas",H44='Ranking Escolas'!$F$4),OR('Ranking Escolas'!$I$4="Todos",E44='Ranking Escolas'!$I$4)),C44+(1000-A44)/10000000,""))</f>
        <v/>
      </c>
      <c r="M44" t="n">
        <v>43</v>
      </c>
      <c r="N44">
        <f>IF(M44&gt;ROWS(avaliacoes_cursos[curso]),"",INDEX(avaliacoes_cursos[curso],M44))</f>
        <v/>
      </c>
      <c r="O44">
        <f>IF(N44="","",INDEX(avaliacoes_cursos[escola],M44))</f>
        <v/>
      </c>
      <c r="P44">
        <f>IF(N44="","",INDEX(avaliacoes_cursos[Nota média],M44))</f>
        <v/>
      </c>
      <c r="Q44">
        <f>IF(N44="","",IF(COUNTIF(avaliacoes_cursos[curso],N44)&gt;1,N44&amp;" — "&amp;O44,N44))</f>
        <v/>
      </c>
      <c r="R44">
        <f>IF(P44="","",P44+(1000-M44)/10000000)</f>
        <v/>
      </c>
    </row>
    <row r="45">
      <c r="A45" t="n">
        <v>44</v>
      </c>
      <c r="B45">
        <f>IF(A45&gt;ROWS(avaliacoes_qualidade[escola]),"",INDEX(avaliacoes_qualidade[escola],A45))</f>
        <v/>
      </c>
      <c r="C45">
        <f>IF(B45="","",INDEX(avaliacoes_qualidade[Nota média],A45))</f>
        <v/>
      </c>
      <c r="D45">
        <f>IF(B45="","",INDEX(avaliacoes_qualidade[Avaliações],A45))</f>
        <v/>
      </c>
      <c r="E45">
        <f>IF(B45="","",IFERROR(INDEX(escolas[Column1.tipo],MATCH(B45,escolas[Column1.nome],0)),"—"))</f>
        <v/>
      </c>
      <c r="F45">
        <f>IF(B45="","",SUMPRODUCT(MAX((RIGHT(B45,LEN(enderecos_escolas[cidade])+1)=" "&amp;enderecos_escolas[cidade])*LEN(enderecos_escolas[cidade]))))</f>
        <v/>
      </c>
      <c r="G45">
        <f>IF(B45="","",IFERROR(INDEX(enderecos_escolas[estado],MATCH(1,INDEX((RIGHT(B45,LEN(enderecos_escolas[cidade])+1)=" "&amp;enderecos_escolas[cidade])*(LEN(enderecos_escolas[cidade])=F45),0),0)),"—"))</f>
        <v/>
      </c>
      <c r="H45">
        <f>IF(B45="","",IFERROR(VLOOKUP(G45,'Parâmetros'!$A$5:$B$31,2,FALSE),"Não localizada"))</f>
        <v/>
      </c>
      <c r="I45">
        <f>IF(B45="","",IFERROR(INDEX(enderecos_escolas[tipoLocalizacao],MATCH(1,INDEX((RIGHT(B45,LEN(enderecos_escolas[cidade])+1)=" "&amp;enderecos_escolas[cidade])*(LEN(enderecos_escolas[cidade])=F45),0),0)),"—"))</f>
        <v/>
      </c>
      <c r="K45">
        <f>IF(C45="","",IF(AND(OR('Ranking Escolas'!$F$4="Todas",H45='Ranking Escolas'!$F$4),OR('Ranking Escolas'!$I$4="Todos",E45='Ranking Escolas'!$I$4)),C45+(1000-A45)/10000000,""))</f>
        <v/>
      </c>
      <c r="M45" t="n">
        <v>44</v>
      </c>
      <c r="N45">
        <f>IF(M45&gt;ROWS(avaliacoes_cursos[curso]),"",INDEX(avaliacoes_cursos[curso],M45))</f>
        <v/>
      </c>
      <c r="O45">
        <f>IF(N45="","",INDEX(avaliacoes_cursos[escola],M45))</f>
        <v/>
      </c>
      <c r="P45">
        <f>IF(N45="","",INDEX(avaliacoes_cursos[Nota média],M45))</f>
        <v/>
      </c>
      <c r="Q45">
        <f>IF(N45="","",IF(COUNTIF(avaliacoes_cursos[curso],N45)&gt;1,N45&amp;" — "&amp;O45,N45))</f>
        <v/>
      </c>
      <c r="R45">
        <f>IF(P45="","",P45+(1000-M45)/10000000)</f>
        <v/>
      </c>
    </row>
    <row r="46">
      <c r="A46" t="n">
        <v>45</v>
      </c>
      <c r="B46">
        <f>IF(A46&gt;ROWS(avaliacoes_qualidade[escola]),"",INDEX(avaliacoes_qualidade[escola],A46))</f>
        <v/>
      </c>
      <c r="C46">
        <f>IF(B46="","",INDEX(avaliacoes_qualidade[Nota média],A46))</f>
        <v/>
      </c>
      <c r="D46">
        <f>IF(B46="","",INDEX(avaliacoes_qualidade[Avaliações],A46))</f>
        <v/>
      </c>
      <c r="E46">
        <f>IF(B46="","",IFERROR(INDEX(escolas[Column1.tipo],MATCH(B46,escolas[Column1.nome],0)),"—"))</f>
        <v/>
      </c>
      <c r="F46">
        <f>IF(B46="","",SUMPRODUCT(MAX((RIGHT(B46,LEN(enderecos_escolas[cidade])+1)=" "&amp;enderecos_escolas[cidade])*LEN(enderecos_escolas[cidade]))))</f>
        <v/>
      </c>
      <c r="G46">
        <f>IF(B46="","",IFERROR(INDEX(enderecos_escolas[estado],MATCH(1,INDEX((RIGHT(B46,LEN(enderecos_escolas[cidade])+1)=" "&amp;enderecos_escolas[cidade])*(LEN(enderecos_escolas[cidade])=F46),0),0)),"—"))</f>
        <v/>
      </c>
      <c r="H46">
        <f>IF(B46="","",IFERROR(VLOOKUP(G46,'Parâmetros'!$A$5:$B$31,2,FALSE),"Não localizada"))</f>
        <v/>
      </c>
      <c r="I46">
        <f>IF(B46="","",IFERROR(INDEX(enderecos_escolas[tipoLocalizacao],MATCH(1,INDEX((RIGHT(B46,LEN(enderecos_escolas[cidade])+1)=" "&amp;enderecos_escolas[cidade])*(LEN(enderecos_escolas[cidade])=F46),0),0)),"—"))</f>
        <v/>
      </c>
      <c r="K46">
        <f>IF(C46="","",IF(AND(OR('Ranking Escolas'!$F$4="Todas",H46='Ranking Escolas'!$F$4),OR('Ranking Escolas'!$I$4="Todos",E46='Ranking Escolas'!$I$4)),C46+(1000-A46)/10000000,""))</f>
        <v/>
      </c>
      <c r="M46" t="n">
        <v>45</v>
      </c>
      <c r="N46">
        <f>IF(M46&gt;ROWS(avaliacoes_cursos[curso]),"",INDEX(avaliacoes_cursos[curso],M46))</f>
        <v/>
      </c>
      <c r="O46">
        <f>IF(N46="","",INDEX(avaliacoes_cursos[escola],M46))</f>
        <v/>
      </c>
      <c r="P46">
        <f>IF(N46="","",INDEX(avaliacoes_cursos[Nota média],M46))</f>
        <v/>
      </c>
      <c r="Q46">
        <f>IF(N46="","",IF(COUNTIF(avaliacoes_cursos[curso],N46)&gt;1,N46&amp;" — "&amp;O46,N46))</f>
        <v/>
      </c>
      <c r="R46">
        <f>IF(P46="","",P46+(1000-M46)/10000000)</f>
        <v/>
      </c>
    </row>
    <row r="47">
      <c r="A47" t="n">
        <v>46</v>
      </c>
      <c r="B47">
        <f>IF(A47&gt;ROWS(avaliacoes_qualidade[escola]),"",INDEX(avaliacoes_qualidade[escola],A47))</f>
        <v/>
      </c>
      <c r="C47">
        <f>IF(B47="","",INDEX(avaliacoes_qualidade[Nota média],A47))</f>
        <v/>
      </c>
      <c r="D47">
        <f>IF(B47="","",INDEX(avaliacoes_qualidade[Avaliações],A47))</f>
        <v/>
      </c>
      <c r="E47">
        <f>IF(B47="","",IFERROR(INDEX(escolas[Column1.tipo],MATCH(B47,escolas[Column1.nome],0)),"—"))</f>
        <v/>
      </c>
      <c r="F47">
        <f>IF(B47="","",SUMPRODUCT(MAX((RIGHT(B47,LEN(enderecos_escolas[cidade])+1)=" "&amp;enderecos_escolas[cidade])*LEN(enderecos_escolas[cidade]))))</f>
        <v/>
      </c>
      <c r="G47">
        <f>IF(B47="","",IFERROR(INDEX(enderecos_escolas[estado],MATCH(1,INDEX((RIGHT(B47,LEN(enderecos_escolas[cidade])+1)=" "&amp;enderecos_escolas[cidade])*(LEN(enderecos_escolas[cidade])=F47),0),0)),"—"))</f>
        <v/>
      </c>
      <c r="H47">
        <f>IF(B47="","",IFERROR(VLOOKUP(G47,'Parâmetros'!$A$5:$B$31,2,FALSE),"Não localizada"))</f>
        <v/>
      </c>
      <c r="I47">
        <f>IF(B47="","",IFERROR(INDEX(enderecos_escolas[tipoLocalizacao],MATCH(1,INDEX((RIGHT(B47,LEN(enderecos_escolas[cidade])+1)=" "&amp;enderecos_escolas[cidade])*(LEN(enderecos_escolas[cidade])=F47),0),0)),"—"))</f>
        <v/>
      </c>
      <c r="K47">
        <f>IF(C47="","",IF(AND(OR('Ranking Escolas'!$F$4="Todas",H47='Ranking Escolas'!$F$4),OR('Ranking Escolas'!$I$4="Todos",E47='Ranking Escolas'!$I$4)),C47+(1000-A47)/10000000,""))</f>
        <v/>
      </c>
      <c r="M47" t="n">
        <v>46</v>
      </c>
      <c r="N47">
        <f>IF(M47&gt;ROWS(avaliacoes_cursos[curso]),"",INDEX(avaliacoes_cursos[curso],M47))</f>
        <v/>
      </c>
      <c r="O47">
        <f>IF(N47="","",INDEX(avaliacoes_cursos[escola],M47))</f>
        <v/>
      </c>
      <c r="P47">
        <f>IF(N47="","",INDEX(avaliacoes_cursos[Nota média],M47))</f>
        <v/>
      </c>
      <c r="Q47">
        <f>IF(N47="","",IF(COUNTIF(avaliacoes_cursos[curso],N47)&gt;1,N47&amp;" — "&amp;O47,N47))</f>
        <v/>
      </c>
      <c r="R47">
        <f>IF(P47="","",P47+(1000-M47)/10000000)</f>
        <v/>
      </c>
    </row>
    <row r="48">
      <c r="A48" t="n">
        <v>47</v>
      </c>
      <c r="B48">
        <f>IF(A48&gt;ROWS(avaliacoes_qualidade[escola]),"",INDEX(avaliacoes_qualidade[escola],A48))</f>
        <v/>
      </c>
      <c r="C48">
        <f>IF(B48="","",INDEX(avaliacoes_qualidade[Nota média],A48))</f>
        <v/>
      </c>
      <c r="D48">
        <f>IF(B48="","",INDEX(avaliacoes_qualidade[Avaliações],A48))</f>
        <v/>
      </c>
      <c r="E48">
        <f>IF(B48="","",IFERROR(INDEX(escolas[Column1.tipo],MATCH(B48,escolas[Column1.nome],0)),"—"))</f>
        <v/>
      </c>
      <c r="F48">
        <f>IF(B48="","",SUMPRODUCT(MAX((RIGHT(B48,LEN(enderecos_escolas[cidade])+1)=" "&amp;enderecos_escolas[cidade])*LEN(enderecos_escolas[cidade]))))</f>
        <v/>
      </c>
      <c r="G48">
        <f>IF(B48="","",IFERROR(INDEX(enderecos_escolas[estado],MATCH(1,INDEX((RIGHT(B48,LEN(enderecos_escolas[cidade])+1)=" "&amp;enderecos_escolas[cidade])*(LEN(enderecos_escolas[cidade])=F48),0),0)),"—"))</f>
        <v/>
      </c>
      <c r="H48">
        <f>IF(B48="","",IFERROR(VLOOKUP(G48,'Parâmetros'!$A$5:$B$31,2,FALSE),"Não localizada"))</f>
        <v/>
      </c>
      <c r="I48">
        <f>IF(B48="","",IFERROR(INDEX(enderecos_escolas[tipoLocalizacao],MATCH(1,INDEX((RIGHT(B48,LEN(enderecos_escolas[cidade])+1)=" "&amp;enderecos_escolas[cidade])*(LEN(enderecos_escolas[cidade])=F48),0),0)),"—"))</f>
        <v/>
      </c>
      <c r="K48">
        <f>IF(C48="","",IF(AND(OR('Ranking Escolas'!$F$4="Todas",H48='Ranking Escolas'!$F$4),OR('Ranking Escolas'!$I$4="Todos",E48='Ranking Escolas'!$I$4)),C48+(1000-A48)/10000000,""))</f>
        <v/>
      </c>
      <c r="M48" t="n">
        <v>47</v>
      </c>
      <c r="N48">
        <f>IF(M48&gt;ROWS(avaliacoes_cursos[curso]),"",INDEX(avaliacoes_cursos[curso],M48))</f>
        <v/>
      </c>
      <c r="O48">
        <f>IF(N48="","",INDEX(avaliacoes_cursos[escola],M48))</f>
        <v/>
      </c>
      <c r="P48">
        <f>IF(N48="","",INDEX(avaliacoes_cursos[Nota média],M48))</f>
        <v/>
      </c>
      <c r="Q48">
        <f>IF(N48="","",IF(COUNTIF(avaliacoes_cursos[curso],N48)&gt;1,N48&amp;" — "&amp;O48,N48))</f>
        <v/>
      </c>
      <c r="R48">
        <f>IF(P48="","",P48+(1000-M48)/10000000)</f>
        <v/>
      </c>
    </row>
    <row r="49">
      <c r="A49" t="n">
        <v>48</v>
      </c>
      <c r="B49">
        <f>IF(A49&gt;ROWS(avaliacoes_qualidade[escola]),"",INDEX(avaliacoes_qualidade[escola],A49))</f>
        <v/>
      </c>
      <c r="C49">
        <f>IF(B49="","",INDEX(avaliacoes_qualidade[Nota média],A49))</f>
        <v/>
      </c>
      <c r="D49">
        <f>IF(B49="","",INDEX(avaliacoes_qualidade[Avaliações],A49))</f>
        <v/>
      </c>
      <c r="E49">
        <f>IF(B49="","",IFERROR(INDEX(escolas[Column1.tipo],MATCH(B49,escolas[Column1.nome],0)),"—"))</f>
        <v/>
      </c>
      <c r="F49">
        <f>IF(B49="","",SUMPRODUCT(MAX((RIGHT(B49,LEN(enderecos_escolas[cidade])+1)=" "&amp;enderecos_escolas[cidade])*LEN(enderecos_escolas[cidade]))))</f>
        <v/>
      </c>
      <c r="G49">
        <f>IF(B49="","",IFERROR(INDEX(enderecos_escolas[estado],MATCH(1,INDEX((RIGHT(B49,LEN(enderecos_escolas[cidade])+1)=" "&amp;enderecos_escolas[cidade])*(LEN(enderecos_escolas[cidade])=F49),0),0)),"—"))</f>
        <v/>
      </c>
      <c r="H49">
        <f>IF(B49="","",IFERROR(VLOOKUP(G49,'Parâmetros'!$A$5:$B$31,2,FALSE),"Não localizada"))</f>
        <v/>
      </c>
      <c r="I49">
        <f>IF(B49="","",IFERROR(INDEX(enderecos_escolas[tipoLocalizacao],MATCH(1,INDEX((RIGHT(B49,LEN(enderecos_escolas[cidade])+1)=" "&amp;enderecos_escolas[cidade])*(LEN(enderecos_escolas[cidade])=F49),0),0)),"—"))</f>
        <v/>
      </c>
      <c r="K49">
        <f>IF(C49="","",IF(AND(OR('Ranking Escolas'!$F$4="Todas",H49='Ranking Escolas'!$F$4),OR('Ranking Escolas'!$I$4="Todos",E49='Ranking Escolas'!$I$4)),C49+(1000-A49)/10000000,""))</f>
        <v/>
      </c>
      <c r="M49" t="n">
        <v>48</v>
      </c>
      <c r="N49">
        <f>IF(M49&gt;ROWS(avaliacoes_cursos[curso]),"",INDEX(avaliacoes_cursos[curso],M49))</f>
        <v/>
      </c>
      <c r="O49">
        <f>IF(N49="","",INDEX(avaliacoes_cursos[escola],M49))</f>
        <v/>
      </c>
      <c r="P49">
        <f>IF(N49="","",INDEX(avaliacoes_cursos[Nota média],M49))</f>
        <v/>
      </c>
      <c r="Q49">
        <f>IF(N49="","",IF(COUNTIF(avaliacoes_cursos[curso],N49)&gt;1,N49&amp;" — "&amp;O49,N49))</f>
        <v/>
      </c>
      <c r="R49">
        <f>IF(P49="","",P49+(1000-M49)/10000000)</f>
        <v/>
      </c>
    </row>
    <row r="50">
      <c r="A50" t="n">
        <v>49</v>
      </c>
      <c r="B50">
        <f>IF(A50&gt;ROWS(avaliacoes_qualidade[escola]),"",INDEX(avaliacoes_qualidade[escola],A50))</f>
        <v/>
      </c>
      <c r="C50">
        <f>IF(B50="","",INDEX(avaliacoes_qualidade[Nota média],A50))</f>
        <v/>
      </c>
      <c r="D50">
        <f>IF(B50="","",INDEX(avaliacoes_qualidade[Avaliações],A50))</f>
        <v/>
      </c>
      <c r="E50">
        <f>IF(B50="","",IFERROR(INDEX(escolas[Column1.tipo],MATCH(B50,escolas[Column1.nome],0)),"—"))</f>
        <v/>
      </c>
      <c r="F50">
        <f>IF(B50="","",SUMPRODUCT(MAX((RIGHT(B50,LEN(enderecos_escolas[cidade])+1)=" "&amp;enderecos_escolas[cidade])*LEN(enderecos_escolas[cidade]))))</f>
        <v/>
      </c>
      <c r="G50">
        <f>IF(B50="","",IFERROR(INDEX(enderecos_escolas[estado],MATCH(1,INDEX((RIGHT(B50,LEN(enderecos_escolas[cidade])+1)=" "&amp;enderecos_escolas[cidade])*(LEN(enderecos_escolas[cidade])=F50),0),0)),"—"))</f>
        <v/>
      </c>
      <c r="H50">
        <f>IF(B50="","",IFERROR(VLOOKUP(G50,'Parâmetros'!$A$5:$B$31,2,FALSE),"Não localizada"))</f>
        <v/>
      </c>
      <c r="I50">
        <f>IF(B50="","",IFERROR(INDEX(enderecos_escolas[tipoLocalizacao],MATCH(1,INDEX((RIGHT(B50,LEN(enderecos_escolas[cidade])+1)=" "&amp;enderecos_escolas[cidade])*(LEN(enderecos_escolas[cidade])=F50),0),0)),"—"))</f>
        <v/>
      </c>
      <c r="K50">
        <f>IF(C50="","",IF(AND(OR('Ranking Escolas'!$F$4="Todas",H50='Ranking Escolas'!$F$4),OR('Ranking Escolas'!$I$4="Todos",E50='Ranking Escolas'!$I$4)),C50+(1000-A50)/10000000,""))</f>
        <v/>
      </c>
      <c r="M50" t="n">
        <v>49</v>
      </c>
      <c r="N50">
        <f>IF(M50&gt;ROWS(avaliacoes_cursos[curso]),"",INDEX(avaliacoes_cursos[curso],M50))</f>
        <v/>
      </c>
      <c r="O50">
        <f>IF(N50="","",INDEX(avaliacoes_cursos[escola],M50))</f>
        <v/>
      </c>
      <c r="P50">
        <f>IF(N50="","",INDEX(avaliacoes_cursos[Nota média],M50))</f>
        <v/>
      </c>
      <c r="Q50">
        <f>IF(N50="","",IF(COUNTIF(avaliacoes_cursos[curso],N50)&gt;1,N50&amp;" — "&amp;O50,N50))</f>
        <v/>
      </c>
      <c r="R50">
        <f>IF(P50="","",P50+(1000-M50)/10000000)</f>
        <v/>
      </c>
    </row>
    <row r="51">
      <c r="A51" t="n">
        <v>50</v>
      </c>
      <c r="B51">
        <f>IF(A51&gt;ROWS(avaliacoes_qualidade[escola]),"",INDEX(avaliacoes_qualidade[escola],A51))</f>
        <v/>
      </c>
      <c r="C51">
        <f>IF(B51="","",INDEX(avaliacoes_qualidade[Nota média],A51))</f>
        <v/>
      </c>
      <c r="D51">
        <f>IF(B51="","",INDEX(avaliacoes_qualidade[Avaliações],A51))</f>
        <v/>
      </c>
      <c r="E51">
        <f>IF(B51="","",IFERROR(INDEX(escolas[Column1.tipo],MATCH(B51,escolas[Column1.nome],0)),"—"))</f>
        <v/>
      </c>
      <c r="F51">
        <f>IF(B51="","",SUMPRODUCT(MAX((RIGHT(B51,LEN(enderecos_escolas[cidade])+1)=" "&amp;enderecos_escolas[cidade])*LEN(enderecos_escolas[cidade]))))</f>
        <v/>
      </c>
      <c r="G51">
        <f>IF(B51="","",IFERROR(INDEX(enderecos_escolas[estado],MATCH(1,INDEX((RIGHT(B51,LEN(enderecos_escolas[cidade])+1)=" "&amp;enderecos_escolas[cidade])*(LEN(enderecos_escolas[cidade])=F51),0),0)),"—"))</f>
        <v/>
      </c>
      <c r="H51">
        <f>IF(B51="","",IFERROR(VLOOKUP(G51,'Parâmetros'!$A$5:$B$31,2,FALSE),"Não localizada"))</f>
        <v/>
      </c>
      <c r="I51">
        <f>IF(B51="","",IFERROR(INDEX(enderecos_escolas[tipoLocalizacao],MATCH(1,INDEX((RIGHT(B51,LEN(enderecos_escolas[cidade])+1)=" "&amp;enderecos_escolas[cidade])*(LEN(enderecos_escolas[cidade])=F51),0),0)),"—"))</f>
        <v/>
      </c>
      <c r="K51">
        <f>IF(C51="","",IF(AND(OR('Ranking Escolas'!$F$4="Todas",H51='Ranking Escolas'!$F$4),OR('Ranking Escolas'!$I$4="Todos",E51='Ranking Escolas'!$I$4)),C51+(1000-A51)/10000000,""))</f>
        <v/>
      </c>
      <c r="M51" t="n">
        <v>50</v>
      </c>
      <c r="N51">
        <f>IF(M51&gt;ROWS(avaliacoes_cursos[curso]),"",INDEX(avaliacoes_cursos[curso],M51))</f>
        <v/>
      </c>
      <c r="O51">
        <f>IF(N51="","",INDEX(avaliacoes_cursos[escola],M51))</f>
        <v/>
      </c>
      <c r="P51">
        <f>IF(N51="","",INDEX(avaliacoes_cursos[Nota média],M51))</f>
        <v/>
      </c>
      <c r="Q51">
        <f>IF(N51="","",IF(COUNTIF(avaliacoes_cursos[curso],N51)&gt;1,N51&amp;" — "&amp;O51,N51))</f>
        <v/>
      </c>
      <c r="R51">
        <f>IF(P51="","",P51+(1000-M51)/10000000)</f>
        <v/>
      </c>
    </row>
    <row r="52">
      <c r="A52" t="n">
        <v>51</v>
      </c>
      <c r="B52">
        <f>IF(A52&gt;ROWS(avaliacoes_qualidade[escola]),"",INDEX(avaliacoes_qualidade[escola],A52))</f>
        <v/>
      </c>
      <c r="C52">
        <f>IF(B52="","",INDEX(avaliacoes_qualidade[Nota média],A52))</f>
        <v/>
      </c>
      <c r="D52">
        <f>IF(B52="","",INDEX(avaliacoes_qualidade[Avaliações],A52))</f>
        <v/>
      </c>
      <c r="E52">
        <f>IF(B52="","",IFERROR(INDEX(escolas[Column1.tipo],MATCH(B52,escolas[Column1.nome],0)),"—"))</f>
        <v/>
      </c>
      <c r="F52">
        <f>IF(B52="","",SUMPRODUCT(MAX((RIGHT(B52,LEN(enderecos_escolas[cidade])+1)=" "&amp;enderecos_escolas[cidade])*LEN(enderecos_escolas[cidade]))))</f>
        <v/>
      </c>
      <c r="G52">
        <f>IF(B52="","",IFERROR(INDEX(enderecos_escolas[estado],MATCH(1,INDEX((RIGHT(B52,LEN(enderecos_escolas[cidade])+1)=" "&amp;enderecos_escolas[cidade])*(LEN(enderecos_escolas[cidade])=F52),0),0)),"—"))</f>
        <v/>
      </c>
      <c r="H52">
        <f>IF(B52="","",IFERROR(VLOOKUP(G52,'Parâmetros'!$A$5:$B$31,2,FALSE),"Não localizada"))</f>
        <v/>
      </c>
      <c r="I52">
        <f>IF(B52="","",IFERROR(INDEX(enderecos_escolas[tipoLocalizacao],MATCH(1,INDEX((RIGHT(B52,LEN(enderecos_escolas[cidade])+1)=" "&amp;enderecos_escolas[cidade])*(LEN(enderecos_escolas[cidade])=F52),0),0)),"—"))</f>
        <v/>
      </c>
      <c r="K52">
        <f>IF(C52="","",IF(AND(OR('Ranking Escolas'!$F$4="Todas",H52='Ranking Escolas'!$F$4),OR('Ranking Escolas'!$I$4="Todos",E52='Ranking Escolas'!$I$4)),C52+(1000-A52)/10000000,""))</f>
        <v/>
      </c>
      <c r="M52" t="n">
        <v>51</v>
      </c>
      <c r="N52">
        <f>IF(M52&gt;ROWS(avaliacoes_cursos[curso]),"",INDEX(avaliacoes_cursos[curso],M52))</f>
        <v/>
      </c>
      <c r="O52">
        <f>IF(N52="","",INDEX(avaliacoes_cursos[escola],M52))</f>
        <v/>
      </c>
      <c r="P52">
        <f>IF(N52="","",INDEX(avaliacoes_cursos[Nota média],M52))</f>
        <v/>
      </c>
      <c r="Q52">
        <f>IF(N52="","",IF(COUNTIF(avaliacoes_cursos[curso],N52)&gt;1,N52&amp;" — "&amp;O52,N52))</f>
        <v/>
      </c>
      <c r="R52">
        <f>IF(P52="","",P52+(1000-M52)/10000000)</f>
        <v/>
      </c>
    </row>
    <row r="53">
      <c r="A53" t="n">
        <v>52</v>
      </c>
      <c r="B53">
        <f>IF(A53&gt;ROWS(avaliacoes_qualidade[escola]),"",INDEX(avaliacoes_qualidade[escola],A53))</f>
        <v/>
      </c>
      <c r="C53">
        <f>IF(B53="","",INDEX(avaliacoes_qualidade[Nota média],A53))</f>
        <v/>
      </c>
      <c r="D53">
        <f>IF(B53="","",INDEX(avaliacoes_qualidade[Avaliações],A53))</f>
        <v/>
      </c>
      <c r="E53">
        <f>IF(B53="","",IFERROR(INDEX(escolas[Column1.tipo],MATCH(B53,escolas[Column1.nome],0)),"—"))</f>
        <v/>
      </c>
      <c r="F53">
        <f>IF(B53="","",SUMPRODUCT(MAX((RIGHT(B53,LEN(enderecos_escolas[cidade])+1)=" "&amp;enderecos_escolas[cidade])*LEN(enderecos_escolas[cidade]))))</f>
        <v/>
      </c>
      <c r="G53">
        <f>IF(B53="","",IFERROR(INDEX(enderecos_escolas[estado],MATCH(1,INDEX((RIGHT(B53,LEN(enderecos_escolas[cidade])+1)=" "&amp;enderecos_escolas[cidade])*(LEN(enderecos_escolas[cidade])=F53),0),0)),"—"))</f>
        <v/>
      </c>
      <c r="H53">
        <f>IF(B53="","",IFERROR(VLOOKUP(G53,'Parâmetros'!$A$5:$B$31,2,FALSE),"Não localizada"))</f>
        <v/>
      </c>
      <c r="I53">
        <f>IF(B53="","",IFERROR(INDEX(enderecos_escolas[tipoLocalizacao],MATCH(1,INDEX((RIGHT(B53,LEN(enderecos_escolas[cidade])+1)=" "&amp;enderecos_escolas[cidade])*(LEN(enderecos_escolas[cidade])=F53),0),0)),"—"))</f>
        <v/>
      </c>
      <c r="K53">
        <f>IF(C53="","",IF(AND(OR('Ranking Escolas'!$F$4="Todas",H53='Ranking Escolas'!$F$4),OR('Ranking Escolas'!$I$4="Todos",E53='Ranking Escolas'!$I$4)),C53+(1000-A53)/10000000,""))</f>
        <v/>
      </c>
      <c r="M53" t="n">
        <v>52</v>
      </c>
      <c r="N53">
        <f>IF(M53&gt;ROWS(avaliacoes_cursos[curso]),"",INDEX(avaliacoes_cursos[curso],M53))</f>
        <v/>
      </c>
      <c r="O53">
        <f>IF(N53="","",INDEX(avaliacoes_cursos[escola],M53))</f>
        <v/>
      </c>
      <c r="P53">
        <f>IF(N53="","",INDEX(avaliacoes_cursos[Nota média],M53))</f>
        <v/>
      </c>
      <c r="Q53">
        <f>IF(N53="","",IF(COUNTIF(avaliacoes_cursos[curso],N53)&gt;1,N53&amp;" — "&amp;O53,N53))</f>
        <v/>
      </c>
      <c r="R53">
        <f>IF(P53="","",P53+(1000-M53)/10000000)</f>
        <v/>
      </c>
    </row>
    <row r="54">
      <c r="A54" t="n">
        <v>53</v>
      </c>
      <c r="B54">
        <f>IF(A54&gt;ROWS(avaliacoes_qualidade[escola]),"",INDEX(avaliacoes_qualidade[escola],A54))</f>
        <v/>
      </c>
      <c r="C54">
        <f>IF(B54="","",INDEX(avaliacoes_qualidade[Nota média],A54))</f>
        <v/>
      </c>
      <c r="D54">
        <f>IF(B54="","",INDEX(avaliacoes_qualidade[Avaliações],A54))</f>
        <v/>
      </c>
      <c r="E54">
        <f>IF(B54="","",IFERROR(INDEX(escolas[Column1.tipo],MATCH(B54,escolas[Column1.nome],0)),"—"))</f>
        <v/>
      </c>
      <c r="F54">
        <f>IF(B54="","",SUMPRODUCT(MAX((RIGHT(B54,LEN(enderecos_escolas[cidade])+1)=" "&amp;enderecos_escolas[cidade])*LEN(enderecos_escolas[cidade]))))</f>
        <v/>
      </c>
      <c r="G54">
        <f>IF(B54="","",IFERROR(INDEX(enderecos_escolas[estado],MATCH(1,INDEX((RIGHT(B54,LEN(enderecos_escolas[cidade])+1)=" "&amp;enderecos_escolas[cidade])*(LEN(enderecos_escolas[cidade])=F54),0),0)),"—"))</f>
        <v/>
      </c>
      <c r="H54">
        <f>IF(B54="","",IFERROR(VLOOKUP(G54,'Parâmetros'!$A$5:$B$31,2,FALSE),"Não localizada"))</f>
        <v/>
      </c>
      <c r="I54">
        <f>IF(B54="","",IFERROR(INDEX(enderecos_escolas[tipoLocalizacao],MATCH(1,INDEX((RIGHT(B54,LEN(enderecos_escolas[cidade])+1)=" "&amp;enderecos_escolas[cidade])*(LEN(enderecos_escolas[cidade])=F54),0),0)),"—"))</f>
        <v/>
      </c>
      <c r="K54">
        <f>IF(C54="","",IF(AND(OR('Ranking Escolas'!$F$4="Todas",H54='Ranking Escolas'!$F$4),OR('Ranking Escolas'!$I$4="Todos",E54='Ranking Escolas'!$I$4)),C54+(1000-A54)/10000000,""))</f>
        <v/>
      </c>
      <c r="M54" t="n">
        <v>53</v>
      </c>
      <c r="N54">
        <f>IF(M54&gt;ROWS(avaliacoes_cursos[curso]),"",INDEX(avaliacoes_cursos[curso],M54))</f>
        <v/>
      </c>
      <c r="O54">
        <f>IF(N54="","",INDEX(avaliacoes_cursos[escola],M54))</f>
        <v/>
      </c>
      <c r="P54">
        <f>IF(N54="","",INDEX(avaliacoes_cursos[Nota média],M54))</f>
        <v/>
      </c>
      <c r="Q54">
        <f>IF(N54="","",IF(COUNTIF(avaliacoes_cursos[curso],N54)&gt;1,N54&amp;" — "&amp;O54,N54))</f>
        <v/>
      </c>
      <c r="R54">
        <f>IF(P54="","",P54+(1000-M54)/10000000)</f>
        <v/>
      </c>
    </row>
    <row r="55">
      <c r="A55" t="n">
        <v>54</v>
      </c>
      <c r="B55">
        <f>IF(A55&gt;ROWS(avaliacoes_qualidade[escola]),"",INDEX(avaliacoes_qualidade[escola],A55))</f>
        <v/>
      </c>
      <c r="C55">
        <f>IF(B55="","",INDEX(avaliacoes_qualidade[Nota média],A55))</f>
        <v/>
      </c>
      <c r="D55">
        <f>IF(B55="","",INDEX(avaliacoes_qualidade[Avaliações],A55))</f>
        <v/>
      </c>
      <c r="E55">
        <f>IF(B55="","",IFERROR(INDEX(escolas[Column1.tipo],MATCH(B55,escolas[Column1.nome],0)),"—"))</f>
        <v/>
      </c>
      <c r="F55">
        <f>IF(B55="","",SUMPRODUCT(MAX((RIGHT(B55,LEN(enderecos_escolas[cidade])+1)=" "&amp;enderecos_escolas[cidade])*LEN(enderecos_escolas[cidade]))))</f>
        <v/>
      </c>
      <c r="G55">
        <f>IF(B55="","",IFERROR(INDEX(enderecos_escolas[estado],MATCH(1,INDEX((RIGHT(B55,LEN(enderecos_escolas[cidade])+1)=" "&amp;enderecos_escolas[cidade])*(LEN(enderecos_escolas[cidade])=F55),0),0)),"—"))</f>
        <v/>
      </c>
      <c r="H55">
        <f>IF(B55="","",IFERROR(VLOOKUP(G55,'Parâmetros'!$A$5:$B$31,2,FALSE),"Não localizada"))</f>
        <v/>
      </c>
      <c r="I55">
        <f>IF(B55="","",IFERROR(INDEX(enderecos_escolas[tipoLocalizacao],MATCH(1,INDEX((RIGHT(B55,LEN(enderecos_escolas[cidade])+1)=" "&amp;enderecos_escolas[cidade])*(LEN(enderecos_escolas[cidade])=F55),0),0)),"—"))</f>
        <v/>
      </c>
      <c r="K55">
        <f>IF(C55="","",IF(AND(OR('Ranking Escolas'!$F$4="Todas",H55='Ranking Escolas'!$F$4),OR('Ranking Escolas'!$I$4="Todos",E55='Ranking Escolas'!$I$4)),C55+(1000-A55)/10000000,""))</f>
        <v/>
      </c>
      <c r="M55" t="n">
        <v>54</v>
      </c>
      <c r="N55">
        <f>IF(M55&gt;ROWS(avaliacoes_cursos[curso]),"",INDEX(avaliacoes_cursos[curso],M55))</f>
        <v/>
      </c>
      <c r="O55">
        <f>IF(N55="","",INDEX(avaliacoes_cursos[escola],M55))</f>
        <v/>
      </c>
      <c r="P55">
        <f>IF(N55="","",INDEX(avaliacoes_cursos[Nota média],M55))</f>
        <v/>
      </c>
      <c r="Q55">
        <f>IF(N55="","",IF(COUNTIF(avaliacoes_cursos[curso],N55)&gt;1,N55&amp;" — "&amp;O55,N55))</f>
        <v/>
      </c>
      <c r="R55">
        <f>IF(P55="","",P55+(1000-M55)/10000000)</f>
        <v/>
      </c>
    </row>
    <row r="56">
      <c r="A56" t="n">
        <v>55</v>
      </c>
      <c r="B56">
        <f>IF(A56&gt;ROWS(avaliacoes_qualidade[escola]),"",INDEX(avaliacoes_qualidade[escola],A56))</f>
        <v/>
      </c>
      <c r="C56">
        <f>IF(B56="","",INDEX(avaliacoes_qualidade[Nota média],A56))</f>
        <v/>
      </c>
      <c r="D56">
        <f>IF(B56="","",INDEX(avaliacoes_qualidade[Avaliações],A56))</f>
        <v/>
      </c>
      <c r="E56">
        <f>IF(B56="","",IFERROR(INDEX(escolas[Column1.tipo],MATCH(B56,escolas[Column1.nome],0)),"—"))</f>
        <v/>
      </c>
      <c r="F56">
        <f>IF(B56="","",SUMPRODUCT(MAX((RIGHT(B56,LEN(enderecos_escolas[cidade])+1)=" "&amp;enderecos_escolas[cidade])*LEN(enderecos_escolas[cidade]))))</f>
        <v/>
      </c>
      <c r="G56">
        <f>IF(B56="","",IFERROR(INDEX(enderecos_escolas[estado],MATCH(1,INDEX((RIGHT(B56,LEN(enderecos_escolas[cidade])+1)=" "&amp;enderecos_escolas[cidade])*(LEN(enderecos_escolas[cidade])=F56),0),0)),"—"))</f>
        <v/>
      </c>
      <c r="H56">
        <f>IF(B56="","",IFERROR(VLOOKUP(G56,'Parâmetros'!$A$5:$B$31,2,FALSE),"Não localizada"))</f>
        <v/>
      </c>
      <c r="I56">
        <f>IF(B56="","",IFERROR(INDEX(enderecos_escolas[tipoLocalizacao],MATCH(1,INDEX((RIGHT(B56,LEN(enderecos_escolas[cidade])+1)=" "&amp;enderecos_escolas[cidade])*(LEN(enderecos_escolas[cidade])=F56),0),0)),"—"))</f>
        <v/>
      </c>
      <c r="K56">
        <f>IF(C56="","",IF(AND(OR('Ranking Escolas'!$F$4="Todas",H56='Ranking Escolas'!$F$4),OR('Ranking Escolas'!$I$4="Todos",E56='Ranking Escolas'!$I$4)),C56+(1000-A56)/10000000,""))</f>
        <v/>
      </c>
      <c r="M56" t="n">
        <v>55</v>
      </c>
      <c r="N56">
        <f>IF(M56&gt;ROWS(avaliacoes_cursos[curso]),"",INDEX(avaliacoes_cursos[curso],M56))</f>
        <v/>
      </c>
      <c r="O56">
        <f>IF(N56="","",INDEX(avaliacoes_cursos[escola],M56))</f>
        <v/>
      </c>
      <c r="P56">
        <f>IF(N56="","",INDEX(avaliacoes_cursos[Nota média],M56))</f>
        <v/>
      </c>
      <c r="Q56">
        <f>IF(N56="","",IF(COUNTIF(avaliacoes_cursos[curso],N56)&gt;1,N56&amp;" — "&amp;O56,N56))</f>
        <v/>
      </c>
      <c r="R56">
        <f>IF(P56="","",P56+(1000-M56)/10000000)</f>
        <v/>
      </c>
    </row>
    <row r="57">
      <c r="A57" t="n">
        <v>56</v>
      </c>
      <c r="B57">
        <f>IF(A57&gt;ROWS(avaliacoes_qualidade[escola]),"",INDEX(avaliacoes_qualidade[escola],A57))</f>
        <v/>
      </c>
      <c r="C57">
        <f>IF(B57="","",INDEX(avaliacoes_qualidade[Nota média],A57))</f>
        <v/>
      </c>
      <c r="D57">
        <f>IF(B57="","",INDEX(avaliacoes_qualidade[Avaliações],A57))</f>
        <v/>
      </c>
      <c r="E57">
        <f>IF(B57="","",IFERROR(INDEX(escolas[Column1.tipo],MATCH(B57,escolas[Column1.nome],0)),"—"))</f>
        <v/>
      </c>
      <c r="F57">
        <f>IF(B57="","",SUMPRODUCT(MAX((RIGHT(B57,LEN(enderecos_escolas[cidade])+1)=" "&amp;enderecos_escolas[cidade])*LEN(enderecos_escolas[cidade]))))</f>
        <v/>
      </c>
      <c r="G57">
        <f>IF(B57="","",IFERROR(INDEX(enderecos_escolas[estado],MATCH(1,INDEX((RIGHT(B57,LEN(enderecos_escolas[cidade])+1)=" "&amp;enderecos_escolas[cidade])*(LEN(enderecos_escolas[cidade])=F57),0),0)),"—"))</f>
        <v/>
      </c>
      <c r="H57">
        <f>IF(B57="","",IFERROR(VLOOKUP(G57,'Parâmetros'!$A$5:$B$31,2,FALSE),"Não localizada"))</f>
        <v/>
      </c>
      <c r="I57">
        <f>IF(B57="","",IFERROR(INDEX(enderecos_escolas[tipoLocalizacao],MATCH(1,INDEX((RIGHT(B57,LEN(enderecos_escolas[cidade])+1)=" "&amp;enderecos_escolas[cidade])*(LEN(enderecos_escolas[cidade])=F57),0),0)),"—"))</f>
        <v/>
      </c>
      <c r="K57">
        <f>IF(C57="","",IF(AND(OR('Ranking Escolas'!$F$4="Todas",H57='Ranking Escolas'!$F$4),OR('Ranking Escolas'!$I$4="Todos",E57='Ranking Escolas'!$I$4)),C57+(1000-A57)/10000000,""))</f>
        <v/>
      </c>
      <c r="M57" t="n">
        <v>56</v>
      </c>
      <c r="N57">
        <f>IF(M57&gt;ROWS(avaliacoes_cursos[curso]),"",INDEX(avaliacoes_cursos[curso],M57))</f>
        <v/>
      </c>
      <c r="O57">
        <f>IF(N57="","",INDEX(avaliacoes_cursos[escola],M57))</f>
        <v/>
      </c>
      <c r="P57">
        <f>IF(N57="","",INDEX(avaliacoes_cursos[Nota média],M57))</f>
        <v/>
      </c>
      <c r="Q57">
        <f>IF(N57="","",IF(COUNTIF(avaliacoes_cursos[curso],N57)&gt;1,N57&amp;" — "&amp;O57,N57))</f>
        <v/>
      </c>
      <c r="R57">
        <f>IF(P57="","",P57+(1000-M57)/10000000)</f>
        <v/>
      </c>
    </row>
    <row r="58">
      <c r="A58" t="n">
        <v>57</v>
      </c>
      <c r="B58">
        <f>IF(A58&gt;ROWS(avaliacoes_qualidade[escola]),"",INDEX(avaliacoes_qualidade[escola],A58))</f>
        <v/>
      </c>
      <c r="C58">
        <f>IF(B58="","",INDEX(avaliacoes_qualidade[Nota média],A58))</f>
        <v/>
      </c>
      <c r="D58">
        <f>IF(B58="","",INDEX(avaliacoes_qualidade[Avaliações],A58))</f>
        <v/>
      </c>
      <c r="E58">
        <f>IF(B58="","",IFERROR(INDEX(escolas[Column1.tipo],MATCH(B58,escolas[Column1.nome],0)),"—"))</f>
        <v/>
      </c>
      <c r="F58">
        <f>IF(B58="","",SUMPRODUCT(MAX((RIGHT(B58,LEN(enderecos_escolas[cidade])+1)=" "&amp;enderecos_escolas[cidade])*LEN(enderecos_escolas[cidade]))))</f>
        <v/>
      </c>
      <c r="G58">
        <f>IF(B58="","",IFERROR(INDEX(enderecos_escolas[estado],MATCH(1,INDEX((RIGHT(B58,LEN(enderecos_escolas[cidade])+1)=" "&amp;enderecos_escolas[cidade])*(LEN(enderecos_escolas[cidade])=F58),0),0)),"—"))</f>
        <v/>
      </c>
      <c r="H58">
        <f>IF(B58="","",IFERROR(VLOOKUP(G58,'Parâmetros'!$A$5:$B$31,2,FALSE),"Não localizada"))</f>
        <v/>
      </c>
      <c r="I58">
        <f>IF(B58="","",IFERROR(INDEX(enderecos_escolas[tipoLocalizacao],MATCH(1,INDEX((RIGHT(B58,LEN(enderecos_escolas[cidade])+1)=" "&amp;enderecos_escolas[cidade])*(LEN(enderecos_escolas[cidade])=F58),0),0)),"—"))</f>
        <v/>
      </c>
      <c r="K58">
        <f>IF(C58="","",IF(AND(OR('Ranking Escolas'!$F$4="Todas",H58='Ranking Escolas'!$F$4),OR('Ranking Escolas'!$I$4="Todos",E58='Ranking Escolas'!$I$4)),C58+(1000-A58)/10000000,""))</f>
        <v/>
      </c>
      <c r="M58" t="n">
        <v>57</v>
      </c>
      <c r="N58">
        <f>IF(M58&gt;ROWS(avaliacoes_cursos[curso]),"",INDEX(avaliacoes_cursos[curso],M58))</f>
        <v/>
      </c>
      <c r="O58">
        <f>IF(N58="","",INDEX(avaliacoes_cursos[escola],M58))</f>
        <v/>
      </c>
      <c r="P58">
        <f>IF(N58="","",INDEX(avaliacoes_cursos[Nota média],M58))</f>
        <v/>
      </c>
      <c r="Q58">
        <f>IF(N58="","",IF(COUNTIF(avaliacoes_cursos[curso],N58)&gt;1,N58&amp;" — "&amp;O58,N58))</f>
        <v/>
      </c>
      <c r="R58">
        <f>IF(P58="","",P58+(1000-M58)/10000000)</f>
        <v/>
      </c>
    </row>
    <row r="59">
      <c r="A59" t="n">
        <v>58</v>
      </c>
      <c r="B59">
        <f>IF(A59&gt;ROWS(avaliacoes_qualidade[escola]),"",INDEX(avaliacoes_qualidade[escola],A59))</f>
        <v/>
      </c>
      <c r="C59">
        <f>IF(B59="","",INDEX(avaliacoes_qualidade[Nota média],A59))</f>
        <v/>
      </c>
      <c r="D59">
        <f>IF(B59="","",INDEX(avaliacoes_qualidade[Avaliações],A59))</f>
        <v/>
      </c>
      <c r="E59">
        <f>IF(B59="","",IFERROR(INDEX(escolas[Column1.tipo],MATCH(B59,escolas[Column1.nome],0)),"—"))</f>
        <v/>
      </c>
      <c r="F59">
        <f>IF(B59="","",SUMPRODUCT(MAX((RIGHT(B59,LEN(enderecos_escolas[cidade])+1)=" "&amp;enderecos_escolas[cidade])*LEN(enderecos_escolas[cidade]))))</f>
        <v/>
      </c>
      <c r="G59">
        <f>IF(B59="","",IFERROR(INDEX(enderecos_escolas[estado],MATCH(1,INDEX((RIGHT(B59,LEN(enderecos_escolas[cidade])+1)=" "&amp;enderecos_escolas[cidade])*(LEN(enderecos_escolas[cidade])=F59),0),0)),"—"))</f>
        <v/>
      </c>
      <c r="H59">
        <f>IF(B59="","",IFERROR(VLOOKUP(G59,'Parâmetros'!$A$5:$B$31,2,FALSE),"Não localizada"))</f>
        <v/>
      </c>
      <c r="I59">
        <f>IF(B59="","",IFERROR(INDEX(enderecos_escolas[tipoLocalizacao],MATCH(1,INDEX((RIGHT(B59,LEN(enderecos_escolas[cidade])+1)=" "&amp;enderecos_escolas[cidade])*(LEN(enderecos_escolas[cidade])=F59),0),0)),"—"))</f>
        <v/>
      </c>
      <c r="K59">
        <f>IF(C59="","",IF(AND(OR('Ranking Escolas'!$F$4="Todas",H59='Ranking Escolas'!$F$4),OR('Ranking Escolas'!$I$4="Todos",E59='Ranking Escolas'!$I$4)),C59+(1000-A59)/10000000,""))</f>
        <v/>
      </c>
      <c r="M59" t="n">
        <v>58</v>
      </c>
      <c r="N59">
        <f>IF(M59&gt;ROWS(avaliacoes_cursos[curso]),"",INDEX(avaliacoes_cursos[curso],M59))</f>
        <v/>
      </c>
      <c r="O59">
        <f>IF(N59="","",INDEX(avaliacoes_cursos[escola],M59))</f>
        <v/>
      </c>
      <c r="P59">
        <f>IF(N59="","",INDEX(avaliacoes_cursos[Nota média],M59))</f>
        <v/>
      </c>
      <c r="Q59">
        <f>IF(N59="","",IF(COUNTIF(avaliacoes_cursos[curso],N59)&gt;1,N59&amp;" — "&amp;O59,N59))</f>
        <v/>
      </c>
      <c r="R59">
        <f>IF(P59="","",P59+(1000-M59)/10000000)</f>
        <v/>
      </c>
    </row>
    <row r="60">
      <c r="A60" t="n">
        <v>59</v>
      </c>
      <c r="B60">
        <f>IF(A60&gt;ROWS(avaliacoes_qualidade[escola]),"",INDEX(avaliacoes_qualidade[escola],A60))</f>
        <v/>
      </c>
      <c r="C60">
        <f>IF(B60="","",INDEX(avaliacoes_qualidade[Nota média],A60))</f>
        <v/>
      </c>
      <c r="D60">
        <f>IF(B60="","",INDEX(avaliacoes_qualidade[Avaliações],A60))</f>
        <v/>
      </c>
      <c r="E60">
        <f>IF(B60="","",IFERROR(INDEX(escolas[Column1.tipo],MATCH(B60,escolas[Column1.nome],0)),"—"))</f>
        <v/>
      </c>
      <c r="F60">
        <f>IF(B60="","",SUMPRODUCT(MAX((RIGHT(B60,LEN(enderecos_escolas[cidade])+1)=" "&amp;enderecos_escolas[cidade])*LEN(enderecos_escolas[cidade]))))</f>
        <v/>
      </c>
      <c r="G60">
        <f>IF(B60="","",IFERROR(INDEX(enderecos_escolas[estado],MATCH(1,INDEX((RIGHT(B60,LEN(enderecos_escolas[cidade])+1)=" "&amp;enderecos_escolas[cidade])*(LEN(enderecos_escolas[cidade])=F60),0),0)),"—"))</f>
        <v/>
      </c>
      <c r="H60">
        <f>IF(B60="","",IFERROR(VLOOKUP(G60,'Parâmetros'!$A$5:$B$31,2,FALSE),"Não localizada"))</f>
        <v/>
      </c>
      <c r="I60">
        <f>IF(B60="","",IFERROR(INDEX(enderecos_escolas[tipoLocalizacao],MATCH(1,INDEX((RIGHT(B60,LEN(enderecos_escolas[cidade])+1)=" "&amp;enderecos_escolas[cidade])*(LEN(enderecos_escolas[cidade])=F60),0),0)),"—"))</f>
        <v/>
      </c>
      <c r="K60">
        <f>IF(C60="","",IF(AND(OR('Ranking Escolas'!$F$4="Todas",H60='Ranking Escolas'!$F$4),OR('Ranking Escolas'!$I$4="Todos",E60='Ranking Escolas'!$I$4)),C60+(1000-A60)/10000000,""))</f>
        <v/>
      </c>
      <c r="M60" t="n">
        <v>59</v>
      </c>
      <c r="N60">
        <f>IF(M60&gt;ROWS(avaliacoes_cursos[curso]),"",INDEX(avaliacoes_cursos[curso],M60))</f>
        <v/>
      </c>
      <c r="O60">
        <f>IF(N60="","",INDEX(avaliacoes_cursos[escola],M60))</f>
        <v/>
      </c>
      <c r="P60">
        <f>IF(N60="","",INDEX(avaliacoes_cursos[Nota média],M60))</f>
        <v/>
      </c>
      <c r="Q60">
        <f>IF(N60="","",IF(COUNTIF(avaliacoes_cursos[curso],N60)&gt;1,N60&amp;" — "&amp;O60,N60))</f>
        <v/>
      </c>
      <c r="R60">
        <f>IF(P60="","",P60+(1000-M60)/10000000)</f>
        <v/>
      </c>
    </row>
    <row r="61">
      <c r="A61" t="n">
        <v>60</v>
      </c>
      <c r="B61">
        <f>IF(A61&gt;ROWS(avaliacoes_qualidade[escola]),"",INDEX(avaliacoes_qualidade[escola],A61))</f>
        <v/>
      </c>
      <c r="C61">
        <f>IF(B61="","",INDEX(avaliacoes_qualidade[Nota média],A61))</f>
        <v/>
      </c>
      <c r="D61">
        <f>IF(B61="","",INDEX(avaliacoes_qualidade[Avaliações],A61))</f>
        <v/>
      </c>
      <c r="E61">
        <f>IF(B61="","",IFERROR(INDEX(escolas[Column1.tipo],MATCH(B61,escolas[Column1.nome],0)),"—"))</f>
        <v/>
      </c>
      <c r="F61">
        <f>IF(B61="","",SUMPRODUCT(MAX((RIGHT(B61,LEN(enderecos_escolas[cidade])+1)=" "&amp;enderecos_escolas[cidade])*LEN(enderecos_escolas[cidade]))))</f>
        <v/>
      </c>
      <c r="G61">
        <f>IF(B61="","",IFERROR(INDEX(enderecos_escolas[estado],MATCH(1,INDEX((RIGHT(B61,LEN(enderecos_escolas[cidade])+1)=" "&amp;enderecos_escolas[cidade])*(LEN(enderecos_escolas[cidade])=F61),0),0)),"—"))</f>
        <v/>
      </c>
      <c r="H61">
        <f>IF(B61="","",IFERROR(VLOOKUP(G61,'Parâmetros'!$A$5:$B$31,2,FALSE),"Não localizada"))</f>
        <v/>
      </c>
      <c r="I61">
        <f>IF(B61="","",IFERROR(INDEX(enderecos_escolas[tipoLocalizacao],MATCH(1,INDEX((RIGHT(B61,LEN(enderecos_escolas[cidade])+1)=" "&amp;enderecos_escolas[cidade])*(LEN(enderecos_escolas[cidade])=F61),0),0)),"—"))</f>
        <v/>
      </c>
      <c r="K61">
        <f>IF(C61="","",IF(AND(OR('Ranking Escolas'!$F$4="Todas",H61='Ranking Escolas'!$F$4),OR('Ranking Escolas'!$I$4="Todos",E61='Ranking Escolas'!$I$4)),C61+(1000-A61)/10000000,""))</f>
        <v/>
      </c>
      <c r="M61" t="n">
        <v>60</v>
      </c>
      <c r="N61">
        <f>IF(M61&gt;ROWS(avaliacoes_cursos[curso]),"",INDEX(avaliacoes_cursos[curso],M61))</f>
        <v/>
      </c>
      <c r="O61">
        <f>IF(N61="","",INDEX(avaliacoes_cursos[escola],M61))</f>
        <v/>
      </c>
      <c r="P61">
        <f>IF(N61="","",INDEX(avaliacoes_cursos[Nota média],M61))</f>
        <v/>
      </c>
      <c r="Q61">
        <f>IF(N61="","",IF(COUNTIF(avaliacoes_cursos[curso],N61)&gt;1,N61&amp;" — "&amp;O61,N61))</f>
        <v/>
      </c>
      <c r="R61">
        <f>IF(P61="","",P61+(1000-M61)/10000000)</f>
        <v/>
      </c>
    </row>
    <row r="62">
      <c r="A62" t="n">
        <v>61</v>
      </c>
      <c r="B62">
        <f>IF(A62&gt;ROWS(avaliacoes_qualidade[escola]),"",INDEX(avaliacoes_qualidade[escola],A62))</f>
        <v/>
      </c>
      <c r="C62">
        <f>IF(B62="","",INDEX(avaliacoes_qualidade[Nota média],A62))</f>
        <v/>
      </c>
      <c r="D62">
        <f>IF(B62="","",INDEX(avaliacoes_qualidade[Avaliações],A62))</f>
        <v/>
      </c>
      <c r="E62">
        <f>IF(B62="","",IFERROR(INDEX(escolas[Column1.tipo],MATCH(B62,escolas[Column1.nome],0)),"—"))</f>
        <v/>
      </c>
      <c r="F62">
        <f>IF(B62="","",SUMPRODUCT(MAX((RIGHT(B62,LEN(enderecos_escolas[cidade])+1)=" "&amp;enderecos_escolas[cidade])*LEN(enderecos_escolas[cidade]))))</f>
        <v/>
      </c>
      <c r="G62">
        <f>IF(B62="","",IFERROR(INDEX(enderecos_escolas[estado],MATCH(1,INDEX((RIGHT(B62,LEN(enderecos_escolas[cidade])+1)=" "&amp;enderecos_escolas[cidade])*(LEN(enderecos_escolas[cidade])=F62),0),0)),"—"))</f>
        <v/>
      </c>
      <c r="H62">
        <f>IF(B62="","",IFERROR(VLOOKUP(G62,'Parâmetros'!$A$5:$B$31,2,FALSE),"Não localizada"))</f>
        <v/>
      </c>
      <c r="I62">
        <f>IF(B62="","",IFERROR(INDEX(enderecos_escolas[tipoLocalizacao],MATCH(1,INDEX((RIGHT(B62,LEN(enderecos_escolas[cidade])+1)=" "&amp;enderecos_escolas[cidade])*(LEN(enderecos_escolas[cidade])=F62),0),0)),"—"))</f>
        <v/>
      </c>
      <c r="K62">
        <f>IF(C62="","",IF(AND(OR('Ranking Escolas'!$F$4="Todas",H62='Ranking Escolas'!$F$4),OR('Ranking Escolas'!$I$4="Todos",E62='Ranking Escolas'!$I$4)),C62+(1000-A62)/10000000,""))</f>
        <v/>
      </c>
      <c r="M62" t="n">
        <v>61</v>
      </c>
      <c r="N62">
        <f>IF(M62&gt;ROWS(avaliacoes_cursos[curso]),"",INDEX(avaliacoes_cursos[curso],M62))</f>
        <v/>
      </c>
      <c r="O62">
        <f>IF(N62="","",INDEX(avaliacoes_cursos[escola],M62))</f>
        <v/>
      </c>
      <c r="P62">
        <f>IF(N62="","",INDEX(avaliacoes_cursos[Nota média],M62))</f>
        <v/>
      </c>
      <c r="Q62">
        <f>IF(N62="","",IF(COUNTIF(avaliacoes_cursos[curso],N62)&gt;1,N62&amp;" — "&amp;O62,N62))</f>
        <v/>
      </c>
      <c r="R62">
        <f>IF(P62="","",P62+(1000-M62)/10000000)</f>
        <v/>
      </c>
    </row>
    <row r="63">
      <c r="A63" t="n">
        <v>62</v>
      </c>
      <c r="B63">
        <f>IF(A63&gt;ROWS(avaliacoes_qualidade[escola]),"",INDEX(avaliacoes_qualidade[escola],A63))</f>
        <v/>
      </c>
      <c r="C63">
        <f>IF(B63="","",INDEX(avaliacoes_qualidade[Nota média],A63))</f>
        <v/>
      </c>
      <c r="D63">
        <f>IF(B63="","",INDEX(avaliacoes_qualidade[Avaliações],A63))</f>
        <v/>
      </c>
      <c r="E63">
        <f>IF(B63="","",IFERROR(INDEX(escolas[Column1.tipo],MATCH(B63,escolas[Column1.nome],0)),"—"))</f>
        <v/>
      </c>
      <c r="F63">
        <f>IF(B63="","",SUMPRODUCT(MAX((RIGHT(B63,LEN(enderecos_escolas[cidade])+1)=" "&amp;enderecos_escolas[cidade])*LEN(enderecos_escolas[cidade]))))</f>
        <v/>
      </c>
      <c r="G63">
        <f>IF(B63="","",IFERROR(INDEX(enderecos_escolas[estado],MATCH(1,INDEX((RIGHT(B63,LEN(enderecos_escolas[cidade])+1)=" "&amp;enderecos_escolas[cidade])*(LEN(enderecos_escolas[cidade])=F63),0),0)),"—"))</f>
        <v/>
      </c>
      <c r="H63">
        <f>IF(B63="","",IFERROR(VLOOKUP(G63,'Parâmetros'!$A$5:$B$31,2,FALSE),"Não localizada"))</f>
        <v/>
      </c>
      <c r="I63">
        <f>IF(B63="","",IFERROR(INDEX(enderecos_escolas[tipoLocalizacao],MATCH(1,INDEX((RIGHT(B63,LEN(enderecos_escolas[cidade])+1)=" "&amp;enderecos_escolas[cidade])*(LEN(enderecos_escolas[cidade])=F63),0),0)),"—"))</f>
        <v/>
      </c>
      <c r="K63">
        <f>IF(C63="","",IF(AND(OR('Ranking Escolas'!$F$4="Todas",H63='Ranking Escolas'!$F$4),OR('Ranking Escolas'!$I$4="Todos",E63='Ranking Escolas'!$I$4)),C63+(1000-A63)/10000000,""))</f>
        <v/>
      </c>
      <c r="M63" t="n">
        <v>62</v>
      </c>
      <c r="N63">
        <f>IF(M63&gt;ROWS(avaliacoes_cursos[curso]),"",INDEX(avaliacoes_cursos[curso],M63))</f>
        <v/>
      </c>
      <c r="O63">
        <f>IF(N63="","",INDEX(avaliacoes_cursos[escola],M63))</f>
        <v/>
      </c>
      <c r="P63">
        <f>IF(N63="","",INDEX(avaliacoes_cursos[Nota média],M63))</f>
        <v/>
      </c>
      <c r="Q63">
        <f>IF(N63="","",IF(COUNTIF(avaliacoes_cursos[curso],N63)&gt;1,N63&amp;" — "&amp;O63,N63))</f>
        <v/>
      </c>
      <c r="R63">
        <f>IF(P63="","",P63+(1000-M63)/10000000)</f>
        <v/>
      </c>
    </row>
    <row r="64">
      <c r="A64" t="n">
        <v>63</v>
      </c>
      <c r="B64">
        <f>IF(A64&gt;ROWS(avaliacoes_qualidade[escola]),"",INDEX(avaliacoes_qualidade[escola],A64))</f>
        <v/>
      </c>
      <c r="C64">
        <f>IF(B64="","",INDEX(avaliacoes_qualidade[Nota média],A64))</f>
        <v/>
      </c>
      <c r="D64">
        <f>IF(B64="","",INDEX(avaliacoes_qualidade[Avaliações],A64))</f>
        <v/>
      </c>
      <c r="E64">
        <f>IF(B64="","",IFERROR(INDEX(escolas[Column1.tipo],MATCH(B64,escolas[Column1.nome],0)),"—"))</f>
        <v/>
      </c>
      <c r="F64">
        <f>IF(B64="","",SUMPRODUCT(MAX((RIGHT(B64,LEN(enderecos_escolas[cidade])+1)=" "&amp;enderecos_escolas[cidade])*LEN(enderecos_escolas[cidade]))))</f>
        <v/>
      </c>
      <c r="G64">
        <f>IF(B64="","",IFERROR(INDEX(enderecos_escolas[estado],MATCH(1,INDEX((RIGHT(B64,LEN(enderecos_escolas[cidade])+1)=" "&amp;enderecos_escolas[cidade])*(LEN(enderecos_escolas[cidade])=F64),0),0)),"—"))</f>
        <v/>
      </c>
      <c r="H64">
        <f>IF(B64="","",IFERROR(VLOOKUP(G64,'Parâmetros'!$A$5:$B$31,2,FALSE),"Não localizada"))</f>
        <v/>
      </c>
      <c r="I64">
        <f>IF(B64="","",IFERROR(INDEX(enderecos_escolas[tipoLocalizacao],MATCH(1,INDEX((RIGHT(B64,LEN(enderecos_escolas[cidade])+1)=" "&amp;enderecos_escolas[cidade])*(LEN(enderecos_escolas[cidade])=F64),0),0)),"—"))</f>
        <v/>
      </c>
      <c r="K64">
        <f>IF(C64="","",IF(AND(OR('Ranking Escolas'!$F$4="Todas",H64='Ranking Escolas'!$F$4),OR('Ranking Escolas'!$I$4="Todos",E64='Ranking Escolas'!$I$4)),C64+(1000-A64)/10000000,""))</f>
        <v/>
      </c>
      <c r="M64" t="n">
        <v>63</v>
      </c>
      <c r="N64">
        <f>IF(M64&gt;ROWS(avaliacoes_cursos[curso]),"",INDEX(avaliacoes_cursos[curso],M64))</f>
        <v/>
      </c>
      <c r="O64">
        <f>IF(N64="","",INDEX(avaliacoes_cursos[escola],M64))</f>
        <v/>
      </c>
      <c r="P64">
        <f>IF(N64="","",INDEX(avaliacoes_cursos[Nota média],M64))</f>
        <v/>
      </c>
      <c r="Q64">
        <f>IF(N64="","",IF(COUNTIF(avaliacoes_cursos[curso],N64)&gt;1,N64&amp;" — "&amp;O64,N64))</f>
        <v/>
      </c>
      <c r="R64">
        <f>IF(P64="","",P64+(1000-M64)/10000000)</f>
        <v/>
      </c>
    </row>
    <row r="65">
      <c r="A65" t="n">
        <v>64</v>
      </c>
      <c r="B65">
        <f>IF(A65&gt;ROWS(avaliacoes_qualidade[escola]),"",INDEX(avaliacoes_qualidade[escola],A65))</f>
        <v/>
      </c>
      <c r="C65">
        <f>IF(B65="","",INDEX(avaliacoes_qualidade[Nota média],A65))</f>
        <v/>
      </c>
      <c r="D65">
        <f>IF(B65="","",INDEX(avaliacoes_qualidade[Avaliações],A65))</f>
        <v/>
      </c>
      <c r="E65">
        <f>IF(B65="","",IFERROR(INDEX(escolas[Column1.tipo],MATCH(B65,escolas[Column1.nome],0)),"—"))</f>
        <v/>
      </c>
      <c r="F65">
        <f>IF(B65="","",SUMPRODUCT(MAX((RIGHT(B65,LEN(enderecos_escolas[cidade])+1)=" "&amp;enderecos_escolas[cidade])*LEN(enderecos_escolas[cidade]))))</f>
        <v/>
      </c>
      <c r="G65">
        <f>IF(B65="","",IFERROR(INDEX(enderecos_escolas[estado],MATCH(1,INDEX((RIGHT(B65,LEN(enderecos_escolas[cidade])+1)=" "&amp;enderecos_escolas[cidade])*(LEN(enderecos_escolas[cidade])=F65),0),0)),"—"))</f>
        <v/>
      </c>
      <c r="H65">
        <f>IF(B65="","",IFERROR(VLOOKUP(G65,'Parâmetros'!$A$5:$B$31,2,FALSE),"Não localizada"))</f>
        <v/>
      </c>
      <c r="I65">
        <f>IF(B65="","",IFERROR(INDEX(enderecos_escolas[tipoLocalizacao],MATCH(1,INDEX((RIGHT(B65,LEN(enderecos_escolas[cidade])+1)=" "&amp;enderecos_escolas[cidade])*(LEN(enderecos_escolas[cidade])=F65),0),0)),"—"))</f>
        <v/>
      </c>
      <c r="K65">
        <f>IF(C65="","",IF(AND(OR('Ranking Escolas'!$F$4="Todas",H65='Ranking Escolas'!$F$4),OR('Ranking Escolas'!$I$4="Todos",E65='Ranking Escolas'!$I$4)),C65+(1000-A65)/10000000,""))</f>
        <v/>
      </c>
      <c r="M65" t="n">
        <v>64</v>
      </c>
      <c r="N65">
        <f>IF(M65&gt;ROWS(avaliacoes_cursos[curso]),"",INDEX(avaliacoes_cursos[curso],M65))</f>
        <v/>
      </c>
      <c r="O65">
        <f>IF(N65="","",INDEX(avaliacoes_cursos[escola],M65))</f>
        <v/>
      </c>
      <c r="P65">
        <f>IF(N65="","",INDEX(avaliacoes_cursos[Nota média],M65))</f>
        <v/>
      </c>
      <c r="Q65">
        <f>IF(N65="","",IF(COUNTIF(avaliacoes_cursos[curso],N65)&gt;1,N65&amp;" — "&amp;O65,N65))</f>
        <v/>
      </c>
      <c r="R65">
        <f>IF(P65="","",P65+(1000-M65)/10000000)</f>
        <v/>
      </c>
    </row>
    <row r="66">
      <c r="A66" t="n">
        <v>65</v>
      </c>
      <c r="B66">
        <f>IF(A66&gt;ROWS(avaliacoes_qualidade[escola]),"",INDEX(avaliacoes_qualidade[escola],A66))</f>
        <v/>
      </c>
      <c r="C66">
        <f>IF(B66="","",INDEX(avaliacoes_qualidade[Nota média],A66))</f>
        <v/>
      </c>
      <c r="D66">
        <f>IF(B66="","",INDEX(avaliacoes_qualidade[Avaliações],A66))</f>
        <v/>
      </c>
      <c r="E66">
        <f>IF(B66="","",IFERROR(INDEX(escolas[Column1.tipo],MATCH(B66,escolas[Column1.nome],0)),"—"))</f>
        <v/>
      </c>
      <c r="F66">
        <f>IF(B66="","",SUMPRODUCT(MAX((RIGHT(B66,LEN(enderecos_escolas[cidade])+1)=" "&amp;enderecos_escolas[cidade])*LEN(enderecos_escolas[cidade]))))</f>
        <v/>
      </c>
      <c r="G66">
        <f>IF(B66="","",IFERROR(INDEX(enderecos_escolas[estado],MATCH(1,INDEX((RIGHT(B66,LEN(enderecos_escolas[cidade])+1)=" "&amp;enderecos_escolas[cidade])*(LEN(enderecos_escolas[cidade])=F66),0),0)),"—"))</f>
        <v/>
      </c>
      <c r="H66">
        <f>IF(B66="","",IFERROR(VLOOKUP(G66,'Parâmetros'!$A$5:$B$31,2,FALSE),"Não localizada"))</f>
        <v/>
      </c>
      <c r="I66">
        <f>IF(B66="","",IFERROR(INDEX(enderecos_escolas[tipoLocalizacao],MATCH(1,INDEX((RIGHT(B66,LEN(enderecos_escolas[cidade])+1)=" "&amp;enderecos_escolas[cidade])*(LEN(enderecos_escolas[cidade])=F66),0),0)),"—"))</f>
        <v/>
      </c>
      <c r="K66">
        <f>IF(C66="","",IF(AND(OR('Ranking Escolas'!$F$4="Todas",H66='Ranking Escolas'!$F$4),OR('Ranking Escolas'!$I$4="Todos",E66='Ranking Escolas'!$I$4)),C66+(1000-A66)/10000000,""))</f>
        <v/>
      </c>
      <c r="M66" t="n">
        <v>65</v>
      </c>
      <c r="N66">
        <f>IF(M66&gt;ROWS(avaliacoes_cursos[curso]),"",INDEX(avaliacoes_cursos[curso],M66))</f>
        <v/>
      </c>
      <c r="O66">
        <f>IF(N66="","",INDEX(avaliacoes_cursos[escola],M66))</f>
        <v/>
      </c>
      <c r="P66">
        <f>IF(N66="","",INDEX(avaliacoes_cursos[Nota média],M66))</f>
        <v/>
      </c>
      <c r="Q66">
        <f>IF(N66="","",IF(COUNTIF(avaliacoes_cursos[curso],N66)&gt;1,N66&amp;" — "&amp;O66,N66))</f>
        <v/>
      </c>
      <c r="R66">
        <f>IF(P66="","",P66+(1000-M66)/10000000)</f>
        <v/>
      </c>
    </row>
    <row r="67">
      <c r="A67" t="n">
        <v>66</v>
      </c>
      <c r="B67">
        <f>IF(A67&gt;ROWS(avaliacoes_qualidade[escola]),"",INDEX(avaliacoes_qualidade[escola],A67))</f>
        <v/>
      </c>
      <c r="C67">
        <f>IF(B67="","",INDEX(avaliacoes_qualidade[Nota média],A67))</f>
        <v/>
      </c>
      <c r="D67">
        <f>IF(B67="","",INDEX(avaliacoes_qualidade[Avaliações],A67))</f>
        <v/>
      </c>
      <c r="E67">
        <f>IF(B67="","",IFERROR(INDEX(escolas[Column1.tipo],MATCH(B67,escolas[Column1.nome],0)),"—"))</f>
        <v/>
      </c>
      <c r="F67">
        <f>IF(B67="","",SUMPRODUCT(MAX((RIGHT(B67,LEN(enderecos_escolas[cidade])+1)=" "&amp;enderecos_escolas[cidade])*LEN(enderecos_escolas[cidade]))))</f>
        <v/>
      </c>
      <c r="G67">
        <f>IF(B67="","",IFERROR(INDEX(enderecos_escolas[estado],MATCH(1,INDEX((RIGHT(B67,LEN(enderecos_escolas[cidade])+1)=" "&amp;enderecos_escolas[cidade])*(LEN(enderecos_escolas[cidade])=F67),0),0)),"—"))</f>
        <v/>
      </c>
      <c r="H67">
        <f>IF(B67="","",IFERROR(VLOOKUP(G67,'Parâmetros'!$A$5:$B$31,2,FALSE),"Não localizada"))</f>
        <v/>
      </c>
      <c r="I67">
        <f>IF(B67="","",IFERROR(INDEX(enderecos_escolas[tipoLocalizacao],MATCH(1,INDEX((RIGHT(B67,LEN(enderecos_escolas[cidade])+1)=" "&amp;enderecos_escolas[cidade])*(LEN(enderecos_escolas[cidade])=F67),0),0)),"—"))</f>
        <v/>
      </c>
      <c r="K67">
        <f>IF(C67="","",IF(AND(OR('Ranking Escolas'!$F$4="Todas",H67='Ranking Escolas'!$F$4),OR('Ranking Escolas'!$I$4="Todos",E67='Ranking Escolas'!$I$4)),C67+(1000-A67)/10000000,""))</f>
        <v/>
      </c>
      <c r="M67" t="n">
        <v>66</v>
      </c>
      <c r="N67">
        <f>IF(M67&gt;ROWS(avaliacoes_cursos[curso]),"",INDEX(avaliacoes_cursos[curso],M67))</f>
        <v/>
      </c>
      <c r="O67">
        <f>IF(N67="","",INDEX(avaliacoes_cursos[escola],M67))</f>
        <v/>
      </c>
      <c r="P67">
        <f>IF(N67="","",INDEX(avaliacoes_cursos[Nota média],M67))</f>
        <v/>
      </c>
      <c r="Q67">
        <f>IF(N67="","",IF(COUNTIF(avaliacoes_cursos[curso],N67)&gt;1,N67&amp;" — "&amp;O67,N67))</f>
        <v/>
      </c>
      <c r="R67">
        <f>IF(P67="","",P67+(1000-M67)/10000000)</f>
        <v/>
      </c>
    </row>
    <row r="68">
      <c r="A68" t="n">
        <v>67</v>
      </c>
      <c r="B68">
        <f>IF(A68&gt;ROWS(avaliacoes_qualidade[escola]),"",INDEX(avaliacoes_qualidade[escola],A68))</f>
        <v/>
      </c>
      <c r="C68">
        <f>IF(B68="","",INDEX(avaliacoes_qualidade[Nota média],A68))</f>
        <v/>
      </c>
      <c r="D68">
        <f>IF(B68="","",INDEX(avaliacoes_qualidade[Avaliações],A68))</f>
        <v/>
      </c>
      <c r="E68">
        <f>IF(B68="","",IFERROR(INDEX(escolas[Column1.tipo],MATCH(B68,escolas[Column1.nome],0)),"—"))</f>
        <v/>
      </c>
      <c r="F68">
        <f>IF(B68="","",SUMPRODUCT(MAX((RIGHT(B68,LEN(enderecos_escolas[cidade])+1)=" "&amp;enderecos_escolas[cidade])*LEN(enderecos_escolas[cidade]))))</f>
        <v/>
      </c>
      <c r="G68">
        <f>IF(B68="","",IFERROR(INDEX(enderecos_escolas[estado],MATCH(1,INDEX((RIGHT(B68,LEN(enderecos_escolas[cidade])+1)=" "&amp;enderecos_escolas[cidade])*(LEN(enderecos_escolas[cidade])=F68),0),0)),"—"))</f>
        <v/>
      </c>
      <c r="H68">
        <f>IF(B68="","",IFERROR(VLOOKUP(G68,'Parâmetros'!$A$5:$B$31,2,FALSE),"Não localizada"))</f>
        <v/>
      </c>
      <c r="I68">
        <f>IF(B68="","",IFERROR(INDEX(enderecos_escolas[tipoLocalizacao],MATCH(1,INDEX((RIGHT(B68,LEN(enderecos_escolas[cidade])+1)=" "&amp;enderecos_escolas[cidade])*(LEN(enderecos_escolas[cidade])=F68),0),0)),"—"))</f>
        <v/>
      </c>
      <c r="K68">
        <f>IF(C68="","",IF(AND(OR('Ranking Escolas'!$F$4="Todas",H68='Ranking Escolas'!$F$4),OR('Ranking Escolas'!$I$4="Todos",E68='Ranking Escolas'!$I$4)),C68+(1000-A68)/10000000,""))</f>
        <v/>
      </c>
      <c r="M68" t="n">
        <v>67</v>
      </c>
      <c r="N68">
        <f>IF(M68&gt;ROWS(avaliacoes_cursos[curso]),"",INDEX(avaliacoes_cursos[curso],M68))</f>
        <v/>
      </c>
      <c r="O68">
        <f>IF(N68="","",INDEX(avaliacoes_cursos[escola],M68))</f>
        <v/>
      </c>
      <c r="P68">
        <f>IF(N68="","",INDEX(avaliacoes_cursos[Nota média],M68))</f>
        <v/>
      </c>
      <c r="Q68">
        <f>IF(N68="","",IF(COUNTIF(avaliacoes_cursos[curso],N68)&gt;1,N68&amp;" — "&amp;O68,N68))</f>
        <v/>
      </c>
      <c r="R68">
        <f>IF(P68="","",P68+(1000-M68)/10000000)</f>
        <v/>
      </c>
    </row>
    <row r="69">
      <c r="A69" t="n">
        <v>68</v>
      </c>
      <c r="B69">
        <f>IF(A69&gt;ROWS(avaliacoes_qualidade[escola]),"",INDEX(avaliacoes_qualidade[escola],A69))</f>
        <v/>
      </c>
      <c r="C69">
        <f>IF(B69="","",INDEX(avaliacoes_qualidade[Nota média],A69))</f>
        <v/>
      </c>
      <c r="D69">
        <f>IF(B69="","",INDEX(avaliacoes_qualidade[Avaliações],A69))</f>
        <v/>
      </c>
      <c r="E69">
        <f>IF(B69="","",IFERROR(INDEX(escolas[Column1.tipo],MATCH(B69,escolas[Column1.nome],0)),"—"))</f>
        <v/>
      </c>
      <c r="F69">
        <f>IF(B69="","",SUMPRODUCT(MAX((RIGHT(B69,LEN(enderecos_escolas[cidade])+1)=" "&amp;enderecos_escolas[cidade])*LEN(enderecos_escolas[cidade]))))</f>
        <v/>
      </c>
      <c r="G69">
        <f>IF(B69="","",IFERROR(INDEX(enderecos_escolas[estado],MATCH(1,INDEX((RIGHT(B69,LEN(enderecos_escolas[cidade])+1)=" "&amp;enderecos_escolas[cidade])*(LEN(enderecos_escolas[cidade])=F69),0),0)),"—"))</f>
        <v/>
      </c>
      <c r="H69">
        <f>IF(B69="","",IFERROR(VLOOKUP(G69,'Parâmetros'!$A$5:$B$31,2,FALSE),"Não localizada"))</f>
        <v/>
      </c>
      <c r="I69">
        <f>IF(B69="","",IFERROR(INDEX(enderecos_escolas[tipoLocalizacao],MATCH(1,INDEX((RIGHT(B69,LEN(enderecos_escolas[cidade])+1)=" "&amp;enderecos_escolas[cidade])*(LEN(enderecos_escolas[cidade])=F69),0),0)),"—"))</f>
        <v/>
      </c>
      <c r="K69">
        <f>IF(C69="","",IF(AND(OR('Ranking Escolas'!$F$4="Todas",H69='Ranking Escolas'!$F$4),OR('Ranking Escolas'!$I$4="Todos",E69='Ranking Escolas'!$I$4)),C69+(1000-A69)/10000000,""))</f>
        <v/>
      </c>
      <c r="M69" t="n">
        <v>68</v>
      </c>
      <c r="N69">
        <f>IF(M69&gt;ROWS(avaliacoes_cursos[curso]),"",INDEX(avaliacoes_cursos[curso],M69))</f>
        <v/>
      </c>
      <c r="O69">
        <f>IF(N69="","",INDEX(avaliacoes_cursos[escola],M69))</f>
        <v/>
      </c>
      <c r="P69">
        <f>IF(N69="","",INDEX(avaliacoes_cursos[Nota média],M69))</f>
        <v/>
      </c>
      <c r="Q69">
        <f>IF(N69="","",IF(COUNTIF(avaliacoes_cursos[curso],N69)&gt;1,N69&amp;" — "&amp;O69,N69))</f>
        <v/>
      </c>
      <c r="R69">
        <f>IF(P69="","",P69+(1000-M69)/10000000)</f>
        <v/>
      </c>
    </row>
    <row r="70">
      <c r="A70" t="n">
        <v>69</v>
      </c>
      <c r="B70">
        <f>IF(A70&gt;ROWS(avaliacoes_qualidade[escola]),"",INDEX(avaliacoes_qualidade[escola],A70))</f>
        <v/>
      </c>
      <c r="C70">
        <f>IF(B70="","",INDEX(avaliacoes_qualidade[Nota média],A70))</f>
        <v/>
      </c>
      <c r="D70">
        <f>IF(B70="","",INDEX(avaliacoes_qualidade[Avaliações],A70))</f>
        <v/>
      </c>
      <c r="E70">
        <f>IF(B70="","",IFERROR(INDEX(escolas[Column1.tipo],MATCH(B70,escolas[Column1.nome],0)),"—"))</f>
        <v/>
      </c>
      <c r="F70">
        <f>IF(B70="","",SUMPRODUCT(MAX((RIGHT(B70,LEN(enderecos_escolas[cidade])+1)=" "&amp;enderecos_escolas[cidade])*LEN(enderecos_escolas[cidade]))))</f>
        <v/>
      </c>
      <c r="G70">
        <f>IF(B70="","",IFERROR(INDEX(enderecos_escolas[estado],MATCH(1,INDEX((RIGHT(B70,LEN(enderecos_escolas[cidade])+1)=" "&amp;enderecos_escolas[cidade])*(LEN(enderecos_escolas[cidade])=F70),0),0)),"—"))</f>
        <v/>
      </c>
      <c r="H70">
        <f>IF(B70="","",IFERROR(VLOOKUP(G70,'Parâmetros'!$A$5:$B$31,2,FALSE),"Não localizada"))</f>
        <v/>
      </c>
      <c r="I70">
        <f>IF(B70="","",IFERROR(INDEX(enderecos_escolas[tipoLocalizacao],MATCH(1,INDEX((RIGHT(B70,LEN(enderecos_escolas[cidade])+1)=" "&amp;enderecos_escolas[cidade])*(LEN(enderecos_escolas[cidade])=F70),0),0)),"—"))</f>
        <v/>
      </c>
      <c r="K70">
        <f>IF(C70="","",IF(AND(OR('Ranking Escolas'!$F$4="Todas",H70='Ranking Escolas'!$F$4),OR('Ranking Escolas'!$I$4="Todos",E70='Ranking Escolas'!$I$4)),C70+(1000-A70)/10000000,""))</f>
        <v/>
      </c>
      <c r="M70" t="n">
        <v>69</v>
      </c>
      <c r="N70">
        <f>IF(M70&gt;ROWS(avaliacoes_cursos[curso]),"",INDEX(avaliacoes_cursos[curso],M70))</f>
        <v/>
      </c>
      <c r="O70">
        <f>IF(N70="","",INDEX(avaliacoes_cursos[escola],M70))</f>
        <v/>
      </c>
      <c r="P70">
        <f>IF(N70="","",INDEX(avaliacoes_cursos[Nota média],M70))</f>
        <v/>
      </c>
      <c r="Q70">
        <f>IF(N70="","",IF(COUNTIF(avaliacoes_cursos[curso],N70)&gt;1,N70&amp;" — "&amp;O70,N70))</f>
        <v/>
      </c>
      <c r="R70">
        <f>IF(P70="","",P70+(1000-M70)/10000000)</f>
        <v/>
      </c>
    </row>
    <row r="71">
      <c r="A71" t="n">
        <v>70</v>
      </c>
      <c r="B71">
        <f>IF(A71&gt;ROWS(avaliacoes_qualidade[escola]),"",INDEX(avaliacoes_qualidade[escola],A71))</f>
        <v/>
      </c>
      <c r="C71">
        <f>IF(B71="","",INDEX(avaliacoes_qualidade[Nota média],A71))</f>
        <v/>
      </c>
      <c r="D71">
        <f>IF(B71="","",INDEX(avaliacoes_qualidade[Avaliações],A71))</f>
        <v/>
      </c>
      <c r="E71">
        <f>IF(B71="","",IFERROR(INDEX(escolas[Column1.tipo],MATCH(B71,escolas[Column1.nome],0)),"—"))</f>
        <v/>
      </c>
      <c r="F71">
        <f>IF(B71="","",SUMPRODUCT(MAX((RIGHT(B71,LEN(enderecos_escolas[cidade])+1)=" "&amp;enderecos_escolas[cidade])*LEN(enderecos_escolas[cidade]))))</f>
        <v/>
      </c>
      <c r="G71">
        <f>IF(B71="","",IFERROR(INDEX(enderecos_escolas[estado],MATCH(1,INDEX((RIGHT(B71,LEN(enderecos_escolas[cidade])+1)=" "&amp;enderecos_escolas[cidade])*(LEN(enderecos_escolas[cidade])=F71),0),0)),"—"))</f>
        <v/>
      </c>
      <c r="H71">
        <f>IF(B71="","",IFERROR(VLOOKUP(G71,'Parâmetros'!$A$5:$B$31,2,FALSE),"Não localizada"))</f>
        <v/>
      </c>
      <c r="I71">
        <f>IF(B71="","",IFERROR(INDEX(enderecos_escolas[tipoLocalizacao],MATCH(1,INDEX((RIGHT(B71,LEN(enderecos_escolas[cidade])+1)=" "&amp;enderecos_escolas[cidade])*(LEN(enderecos_escolas[cidade])=F71),0),0)),"—"))</f>
        <v/>
      </c>
      <c r="K71">
        <f>IF(C71="","",IF(AND(OR('Ranking Escolas'!$F$4="Todas",H71='Ranking Escolas'!$F$4),OR('Ranking Escolas'!$I$4="Todos",E71='Ranking Escolas'!$I$4)),C71+(1000-A71)/10000000,""))</f>
        <v/>
      </c>
      <c r="M71" t="n">
        <v>70</v>
      </c>
      <c r="N71">
        <f>IF(M71&gt;ROWS(avaliacoes_cursos[curso]),"",INDEX(avaliacoes_cursos[curso],M71))</f>
        <v/>
      </c>
      <c r="O71">
        <f>IF(N71="","",INDEX(avaliacoes_cursos[escola],M71))</f>
        <v/>
      </c>
      <c r="P71">
        <f>IF(N71="","",INDEX(avaliacoes_cursos[Nota média],M71))</f>
        <v/>
      </c>
      <c r="Q71">
        <f>IF(N71="","",IF(COUNTIF(avaliacoes_cursos[curso],N71)&gt;1,N71&amp;" — "&amp;O71,N71))</f>
        <v/>
      </c>
      <c r="R71">
        <f>IF(P71="","",P71+(1000-M71)/10000000)</f>
        <v/>
      </c>
    </row>
    <row r="72">
      <c r="A72" t="n">
        <v>71</v>
      </c>
      <c r="B72">
        <f>IF(A72&gt;ROWS(avaliacoes_qualidade[escola]),"",INDEX(avaliacoes_qualidade[escola],A72))</f>
        <v/>
      </c>
      <c r="C72">
        <f>IF(B72="","",INDEX(avaliacoes_qualidade[Nota média],A72))</f>
        <v/>
      </c>
      <c r="D72">
        <f>IF(B72="","",INDEX(avaliacoes_qualidade[Avaliações],A72))</f>
        <v/>
      </c>
      <c r="E72">
        <f>IF(B72="","",IFERROR(INDEX(escolas[Column1.tipo],MATCH(B72,escolas[Column1.nome],0)),"—"))</f>
        <v/>
      </c>
      <c r="F72">
        <f>IF(B72="","",SUMPRODUCT(MAX((RIGHT(B72,LEN(enderecos_escolas[cidade])+1)=" "&amp;enderecos_escolas[cidade])*LEN(enderecos_escolas[cidade]))))</f>
        <v/>
      </c>
      <c r="G72">
        <f>IF(B72="","",IFERROR(INDEX(enderecos_escolas[estado],MATCH(1,INDEX((RIGHT(B72,LEN(enderecos_escolas[cidade])+1)=" "&amp;enderecos_escolas[cidade])*(LEN(enderecos_escolas[cidade])=F72),0),0)),"—"))</f>
        <v/>
      </c>
      <c r="H72">
        <f>IF(B72="","",IFERROR(VLOOKUP(G72,'Parâmetros'!$A$5:$B$31,2,FALSE),"Não localizada"))</f>
        <v/>
      </c>
      <c r="I72">
        <f>IF(B72="","",IFERROR(INDEX(enderecos_escolas[tipoLocalizacao],MATCH(1,INDEX((RIGHT(B72,LEN(enderecos_escolas[cidade])+1)=" "&amp;enderecos_escolas[cidade])*(LEN(enderecos_escolas[cidade])=F72),0),0)),"—"))</f>
        <v/>
      </c>
      <c r="K72">
        <f>IF(C72="","",IF(AND(OR('Ranking Escolas'!$F$4="Todas",H72='Ranking Escolas'!$F$4),OR('Ranking Escolas'!$I$4="Todos",E72='Ranking Escolas'!$I$4)),C72+(1000-A72)/10000000,""))</f>
        <v/>
      </c>
      <c r="M72" t="n">
        <v>71</v>
      </c>
      <c r="N72">
        <f>IF(M72&gt;ROWS(avaliacoes_cursos[curso]),"",INDEX(avaliacoes_cursos[curso],M72))</f>
        <v/>
      </c>
      <c r="O72">
        <f>IF(N72="","",INDEX(avaliacoes_cursos[escola],M72))</f>
        <v/>
      </c>
      <c r="P72">
        <f>IF(N72="","",INDEX(avaliacoes_cursos[Nota média],M72))</f>
        <v/>
      </c>
      <c r="Q72">
        <f>IF(N72="","",IF(COUNTIF(avaliacoes_cursos[curso],N72)&gt;1,N72&amp;" — "&amp;O72,N72))</f>
        <v/>
      </c>
      <c r="R72">
        <f>IF(P72="","",P72+(1000-M72)/10000000)</f>
        <v/>
      </c>
    </row>
    <row r="73">
      <c r="A73" t="n">
        <v>72</v>
      </c>
      <c r="B73">
        <f>IF(A73&gt;ROWS(avaliacoes_qualidade[escola]),"",INDEX(avaliacoes_qualidade[escola],A73))</f>
        <v/>
      </c>
      <c r="C73">
        <f>IF(B73="","",INDEX(avaliacoes_qualidade[Nota média],A73))</f>
        <v/>
      </c>
      <c r="D73">
        <f>IF(B73="","",INDEX(avaliacoes_qualidade[Avaliações],A73))</f>
        <v/>
      </c>
      <c r="E73">
        <f>IF(B73="","",IFERROR(INDEX(escolas[Column1.tipo],MATCH(B73,escolas[Column1.nome],0)),"—"))</f>
        <v/>
      </c>
      <c r="F73">
        <f>IF(B73="","",SUMPRODUCT(MAX((RIGHT(B73,LEN(enderecos_escolas[cidade])+1)=" "&amp;enderecos_escolas[cidade])*LEN(enderecos_escolas[cidade]))))</f>
        <v/>
      </c>
      <c r="G73">
        <f>IF(B73="","",IFERROR(INDEX(enderecos_escolas[estado],MATCH(1,INDEX((RIGHT(B73,LEN(enderecos_escolas[cidade])+1)=" "&amp;enderecos_escolas[cidade])*(LEN(enderecos_escolas[cidade])=F73),0),0)),"—"))</f>
        <v/>
      </c>
      <c r="H73">
        <f>IF(B73="","",IFERROR(VLOOKUP(G73,'Parâmetros'!$A$5:$B$31,2,FALSE),"Não localizada"))</f>
        <v/>
      </c>
      <c r="I73">
        <f>IF(B73="","",IFERROR(INDEX(enderecos_escolas[tipoLocalizacao],MATCH(1,INDEX((RIGHT(B73,LEN(enderecos_escolas[cidade])+1)=" "&amp;enderecos_escolas[cidade])*(LEN(enderecos_escolas[cidade])=F73),0),0)),"—"))</f>
        <v/>
      </c>
      <c r="K73">
        <f>IF(C73="","",IF(AND(OR('Ranking Escolas'!$F$4="Todas",H73='Ranking Escolas'!$F$4),OR('Ranking Escolas'!$I$4="Todos",E73='Ranking Escolas'!$I$4)),C73+(1000-A73)/10000000,""))</f>
        <v/>
      </c>
      <c r="M73" t="n">
        <v>72</v>
      </c>
      <c r="N73">
        <f>IF(M73&gt;ROWS(avaliacoes_cursos[curso]),"",INDEX(avaliacoes_cursos[curso],M73))</f>
        <v/>
      </c>
      <c r="O73">
        <f>IF(N73="","",INDEX(avaliacoes_cursos[escola],M73))</f>
        <v/>
      </c>
      <c r="P73">
        <f>IF(N73="","",INDEX(avaliacoes_cursos[Nota média],M73))</f>
        <v/>
      </c>
      <c r="Q73">
        <f>IF(N73="","",IF(COUNTIF(avaliacoes_cursos[curso],N73)&gt;1,N73&amp;" — "&amp;O73,N73))</f>
        <v/>
      </c>
      <c r="R73">
        <f>IF(P73="","",P73+(1000-M73)/10000000)</f>
        <v/>
      </c>
    </row>
    <row r="74">
      <c r="A74" t="n">
        <v>73</v>
      </c>
      <c r="B74">
        <f>IF(A74&gt;ROWS(avaliacoes_qualidade[escola]),"",INDEX(avaliacoes_qualidade[escola],A74))</f>
        <v/>
      </c>
      <c r="C74">
        <f>IF(B74="","",INDEX(avaliacoes_qualidade[Nota média],A74))</f>
        <v/>
      </c>
      <c r="D74">
        <f>IF(B74="","",INDEX(avaliacoes_qualidade[Avaliações],A74))</f>
        <v/>
      </c>
      <c r="E74">
        <f>IF(B74="","",IFERROR(INDEX(escolas[Column1.tipo],MATCH(B74,escolas[Column1.nome],0)),"—"))</f>
        <v/>
      </c>
      <c r="F74">
        <f>IF(B74="","",SUMPRODUCT(MAX((RIGHT(B74,LEN(enderecos_escolas[cidade])+1)=" "&amp;enderecos_escolas[cidade])*LEN(enderecos_escolas[cidade]))))</f>
        <v/>
      </c>
      <c r="G74">
        <f>IF(B74="","",IFERROR(INDEX(enderecos_escolas[estado],MATCH(1,INDEX((RIGHT(B74,LEN(enderecos_escolas[cidade])+1)=" "&amp;enderecos_escolas[cidade])*(LEN(enderecos_escolas[cidade])=F74),0),0)),"—"))</f>
        <v/>
      </c>
      <c r="H74">
        <f>IF(B74="","",IFERROR(VLOOKUP(G74,'Parâmetros'!$A$5:$B$31,2,FALSE),"Não localizada"))</f>
        <v/>
      </c>
      <c r="I74">
        <f>IF(B74="","",IFERROR(INDEX(enderecos_escolas[tipoLocalizacao],MATCH(1,INDEX((RIGHT(B74,LEN(enderecos_escolas[cidade])+1)=" "&amp;enderecos_escolas[cidade])*(LEN(enderecos_escolas[cidade])=F74),0),0)),"—"))</f>
        <v/>
      </c>
      <c r="K74">
        <f>IF(C74="","",IF(AND(OR('Ranking Escolas'!$F$4="Todas",H74='Ranking Escolas'!$F$4),OR('Ranking Escolas'!$I$4="Todos",E74='Ranking Escolas'!$I$4)),C74+(1000-A74)/10000000,""))</f>
        <v/>
      </c>
      <c r="M74" t="n">
        <v>73</v>
      </c>
      <c r="N74">
        <f>IF(M74&gt;ROWS(avaliacoes_cursos[curso]),"",INDEX(avaliacoes_cursos[curso],M74))</f>
        <v/>
      </c>
      <c r="O74">
        <f>IF(N74="","",INDEX(avaliacoes_cursos[escola],M74))</f>
        <v/>
      </c>
      <c r="P74">
        <f>IF(N74="","",INDEX(avaliacoes_cursos[Nota média],M74))</f>
        <v/>
      </c>
      <c r="Q74">
        <f>IF(N74="","",IF(COUNTIF(avaliacoes_cursos[curso],N74)&gt;1,N74&amp;" — "&amp;O74,N74))</f>
        <v/>
      </c>
      <c r="R74">
        <f>IF(P74="","",P74+(1000-M74)/10000000)</f>
        <v/>
      </c>
    </row>
    <row r="75">
      <c r="A75" t="n">
        <v>74</v>
      </c>
      <c r="B75">
        <f>IF(A75&gt;ROWS(avaliacoes_qualidade[escola]),"",INDEX(avaliacoes_qualidade[escola],A75))</f>
        <v/>
      </c>
      <c r="C75">
        <f>IF(B75="","",INDEX(avaliacoes_qualidade[Nota média],A75))</f>
        <v/>
      </c>
      <c r="D75">
        <f>IF(B75="","",INDEX(avaliacoes_qualidade[Avaliações],A75))</f>
        <v/>
      </c>
      <c r="E75">
        <f>IF(B75="","",IFERROR(INDEX(escolas[Column1.tipo],MATCH(B75,escolas[Column1.nome],0)),"—"))</f>
        <v/>
      </c>
      <c r="F75">
        <f>IF(B75="","",SUMPRODUCT(MAX((RIGHT(B75,LEN(enderecos_escolas[cidade])+1)=" "&amp;enderecos_escolas[cidade])*LEN(enderecos_escolas[cidade]))))</f>
        <v/>
      </c>
      <c r="G75">
        <f>IF(B75="","",IFERROR(INDEX(enderecos_escolas[estado],MATCH(1,INDEX((RIGHT(B75,LEN(enderecos_escolas[cidade])+1)=" "&amp;enderecos_escolas[cidade])*(LEN(enderecos_escolas[cidade])=F75),0),0)),"—"))</f>
        <v/>
      </c>
      <c r="H75">
        <f>IF(B75="","",IFERROR(VLOOKUP(G75,'Parâmetros'!$A$5:$B$31,2,FALSE),"Não localizada"))</f>
        <v/>
      </c>
      <c r="I75">
        <f>IF(B75="","",IFERROR(INDEX(enderecos_escolas[tipoLocalizacao],MATCH(1,INDEX((RIGHT(B75,LEN(enderecos_escolas[cidade])+1)=" "&amp;enderecos_escolas[cidade])*(LEN(enderecos_escolas[cidade])=F75),0),0)),"—"))</f>
        <v/>
      </c>
      <c r="K75">
        <f>IF(C75="","",IF(AND(OR('Ranking Escolas'!$F$4="Todas",H75='Ranking Escolas'!$F$4),OR('Ranking Escolas'!$I$4="Todos",E75='Ranking Escolas'!$I$4)),C75+(1000-A75)/10000000,""))</f>
        <v/>
      </c>
      <c r="M75" t="n">
        <v>74</v>
      </c>
      <c r="N75">
        <f>IF(M75&gt;ROWS(avaliacoes_cursos[curso]),"",INDEX(avaliacoes_cursos[curso],M75))</f>
        <v/>
      </c>
      <c r="O75">
        <f>IF(N75="","",INDEX(avaliacoes_cursos[escola],M75))</f>
        <v/>
      </c>
      <c r="P75">
        <f>IF(N75="","",INDEX(avaliacoes_cursos[Nota média],M75))</f>
        <v/>
      </c>
      <c r="Q75">
        <f>IF(N75="","",IF(COUNTIF(avaliacoes_cursos[curso],N75)&gt;1,N75&amp;" — "&amp;O75,N75))</f>
        <v/>
      </c>
      <c r="R75">
        <f>IF(P75="","",P75+(1000-M75)/10000000)</f>
        <v/>
      </c>
    </row>
    <row r="76">
      <c r="A76" t="n">
        <v>75</v>
      </c>
      <c r="B76">
        <f>IF(A76&gt;ROWS(avaliacoes_qualidade[escola]),"",INDEX(avaliacoes_qualidade[escola],A76))</f>
        <v/>
      </c>
      <c r="C76">
        <f>IF(B76="","",INDEX(avaliacoes_qualidade[Nota média],A76))</f>
        <v/>
      </c>
      <c r="D76">
        <f>IF(B76="","",INDEX(avaliacoes_qualidade[Avaliações],A76))</f>
        <v/>
      </c>
      <c r="E76">
        <f>IF(B76="","",IFERROR(INDEX(escolas[Column1.tipo],MATCH(B76,escolas[Column1.nome],0)),"—"))</f>
        <v/>
      </c>
      <c r="F76">
        <f>IF(B76="","",SUMPRODUCT(MAX((RIGHT(B76,LEN(enderecos_escolas[cidade])+1)=" "&amp;enderecos_escolas[cidade])*LEN(enderecos_escolas[cidade]))))</f>
        <v/>
      </c>
      <c r="G76">
        <f>IF(B76="","",IFERROR(INDEX(enderecos_escolas[estado],MATCH(1,INDEX((RIGHT(B76,LEN(enderecos_escolas[cidade])+1)=" "&amp;enderecos_escolas[cidade])*(LEN(enderecos_escolas[cidade])=F76),0),0)),"—"))</f>
        <v/>
      </c>
      <c r="H76">
        <f>IF(B76="","",IFERROR(VLOOKUP(G76,'Parâmetros'!$A$5:$B$31,2,FALSE),"Não localizada"))</f>
        <v/>
      </c>
      <c r="I76">
        <f>IF(B76="","",IFERROR(INDEX(enderecos_escolas[tipoLocalizacao],MATCH(1,INDEX((RIGHT(B76,LEN(enderecos_escolas[cidade])+1)=" "&amp;enderecos_escolas[cidade])*(LEN(enderecos_escolas[cidade])=F76),0),0)),"—"))</f>
        <v/>
      </c>
      <c r="K76">
        <f>IF(C76="","",IF(AND(OR('Ranking Escolas'!$F$4="Todas",H76='Ranking Escolas'!$F$4),OR('Ranking Escolas'!$I$4="Todos",E76='Ranking Escolas'!$I$4)),C76+(1000-A76)/10000000,""))</f>
        <v/>
      </c>
      <c r="M76" t="n">
        <v>75</v>
      </c>
      <c r="N76">
        <f>IF(M76&gt;ROWS(avaliacoes_cursos[curso]),"",INDEX(avaliacoes_cursos[curso],M76))</f>
        <v/>
      </c>
      <c r="O76">
        <f>IF(N76="","",INDEX(avaliacoes_cursos[escola],M76))</f>
        <v/>
      </c>
      <c r="P76">
        <f>IF(N76="","",INDEX(avaliacoes_cursos[Nota média],M76))</f>
        <v/>
      </c>
      <c r="Q76">
        <f>IF(N76="","",IF(COUNTIF(avaliacoes_cursos[curso],N76)&gt;1,N76&amp;" — "&amp;O76,N76))</f>
        <v/>
      </c>
      <c r="R76">
        <f>IF(P76="","",P76+(1000-M76)/10000000)</f>
        <v/>
      </c>
    </row>
    <row r="77">
      <c r="A77" t="n">
        <v>76</v>
      </c>
      <c r="B77">
        <f>IF(A77&gt;ROWS(avaliacoes_qualidade[escola]),"",INDEX(avaliacoes_qualidade[escola],A77))</f>
        <v/>
      </c>
      <c r="C77">
        <f>IF(B77="","",INDEX(avaliacoes_qualidade[Nota média],A77))</f>
        <v/>
      </c>
      <c r="D77">
        <f>IF(B77="","",INDEX(avaliacoes_qualidade[Avaliações],A77))</f>
        <v/>
      </c>
      <c r="E77">
        <f>IF(B77="","",IFERROR(INDEX(escolas[Column1.tipo],MATCH(B77,escolas[Column1.nome],0)),"—"))</f>
        <v/>
      </c>
      <c r="F77">
        <f>IF(B77="","",SUMPRODUCT(MAX((RIGHT(B77,LEN(enderecos_escolas[cidade])+1)=" "&amp;enderecos_escolas[cidade])*LEN(enderecos_escolas[cidade]))))</f>
        <v/>
      </c>
      <c r="G77">
        <f>IF(B77="","",IFERROR(INDEX(enderecos_escolas[estado],MATCH(1,INDEX((RIGHT(B77,LEN(enderecos_escolas[cidade])+1)=" "&amp;enderecos_escolas[cidade])*(LEN(enderecos_escolas[cidade])=F77),0),0)),"—"))</f>
        <v/>
      </c>
      <c r="H77">
        <f>IF(B77="","",IFERROR(VLOOKUP(G77,'Parâmetros'!$A$5:$B$31,2,FALSE),"Não localizada"))</f>
        <v/>
      </c>
      <c r="I77">
        <f>IF(B77="","",IFERROR(INDEX(enderecos_escolas[tipoLocalizacao],MATCH(1,INDEX((RIGHT(B77,LEN(enderecos_escolas[cidade])+1)=" "&amp;enderecos_escolas[cidade])*(LEN(enderecos_escolas[cidade])=F77),0),0)),"—"))</f>
        <v/>
      </c>
      <c r="K77">
        <f>IF(C77="","",IF(AND(OR('Ranking Escolas'!$F$4="Todas",H77='Ranking Escolas'!$F$4),OR('Ranking Escolas'!$I$4="Todos",E77='Ranking Escolas'!$I$4)),C77+(1000-A77)/10000000,""))</f>
        <v/>
      </c>
      <c r="M77" t="n">
        <v>76</v>
      </c>
      <c r="N77">
        <f>IF(M77&gt;ROWS(avaliacoes_cursos[curso]),"",INDEX(avaliacoes_cursos[curso],M77))</f>
        <v/>
      </c>
      <c r="O77">
        <f>IF(N77="","",INDEX(avaliacoes_cursos[escola],M77))</f>
        <v/>
      </c>
      <c r="P77">
        <f>IF(N77="","",INDEX(avaliacoes_cursos[Nota média],M77))</f>
        <v/>
      </c>
      <c r="Q77">
        <f>IF(N77="","",IF(COUNTIF(avaliacoes_cursos[curso],N77)&gt;1,N77&amp;" — "&amp;O77,N77))</f>
        <v/>
      </c>
      <c r="R77">
        <f>IF(P77="","",P77+(1000-M77)/10000000)</f>
        <v/>
      </c>
    </row>
    <row r="78">
      <c r="A78" t="n">
        <v>77</v>
      </c>
      <c r="B78">
        <f>IF(A78&gt;ROWS(avaliacoes_qualidade[escola]),"",INDEX(avaliacoes_qualidade[escola],A78))</f>
        <v/>
      </c>
      <c r="C78">
        <f>IF(B78="","",INDEX(avaliacoes_qualidade[Nota média],A78))</f>
        <v/>
      </c>
      <c r="D78">
        <f>IF(B78="","",INDEX(avaliacoes_qualidade[Avaliações],A78))</f>
        <v/>
      </c>
      <c r="E78">
        <f>IF(B78="","",IFERROR(INDEX(escolas[Column1.tipo],MATCH(B78,escolas[Column1.nome],0)),"—"))</f>
        <v/>
      </c>
      <c r="F78">
        <f>IF(B78="","",SUMPRODUCT(MAX((RIGHT(B78,LEN(enderecos_escolas[cidade])+1)=" "&amp;enderecos_escolas[cidade])*LEN(enderecos_escolas[cidade]))))</f>
        <v/>
      </c>
      <c r="G78">
        <f>IF(B78="","",IFERROR(INDEX(enderecos_escolas[estado],MATCH(1,INDEX((RIGHT(B78,LEN(enderecos_escolas[cidade])+1)=" "&amp;enderecos_escolas[cidade])*(LEN(enderecos_escolas[cidade])=F78),0),0)),"—"))</f>
        <v/>
      </c>
      <c r="H78">
        <f>IF(B78="","",IFERROR(VLOOKUP(G78,'Parâmetros'!$A$5:$B$31,2,FALSE),"Não localizada"))</f>
        <v/>
      </c>
      <c r="I78">
        <f>IF(B78="","",IFERROR(INDEX(enderecos_escolas[tipoLocalizacao],MATCH(1,INDEX((RIGHT(B78,LEN(enderecos_escolas[cidade])+1)=" "&amp;enderecos_escolas[cidade])*(LEN(enderecos_escolas[cidade])=F78),0),0)),"—"))</f>
        <v/>
      </c>
      <c r="K78">
        <f>IF(C78="","",IF(AND(OR('Ranking Escolas'!$F$4="Todas",H78='Ranking Escolas'!$F$4),OR('Ranking Escolas'!$I$4="Todos",E78='Ranking Escolas'!$I$4)),C78+(1000-A78)/10000000,""))</f>
        <v/>
      </c>
      <c r="M78" t="n">
        <v>77</v>
      </c>
      <c r="N78">
        <f>IF(M78&gt;ROWS(avaliacoes_cursos[curso]),"",INDEX(avaliacoes_cursos[curso],M78))</f>
        <v/>
      </c>
      <c r="O78">
        <f>IF(N78="","",INDEX(avaliacoes_cursos[escola],M78))</f>
        <v/>
      </c>
      <c r="P78">
        <f>IF(N78="","",INDEX(avaliacoes_cursos[Nota média],M78))</f>
        <v/>
      </c>
      <c r="Q78">
        <f>IF(N78="","",IF(COUNTIF(avaliacoes_cursos[curso],N78)&gt;1,N78&amp;" — "&amp;O78,N78))</f>
        <v/>
      </c>
      <c r="R78">
        <f>IF(P78="","",P78+(1000-M78)/10000000)</f>
        <v/>
      </c>
    </row>
    <row r="79">
      <c r="A79" t="n">
        <v>78</v>
      </c>
      <c r="B79">
        <f>IF(A79&gt;ROWS(avaliacoes_qualidade[escola]),"",INDEX(avaliacoes_qualidade[escola],A79))</f>
        <v/>
      </c>
      <c r="C79">
        <f>IF(B79="","",INDEX(avaliacoes_qualidade[Nota média],A79))</f>
        <v/>
      </c>
      <c r="D79">
        <f>IF(B79="","",INDEX(avaliacoes_qualidade[Avaliações],A79))</f>
        <v/>
      </c>
      <c r="E79">
        <f>IF(B79="","",IFERROR(INDEX(escolas[Column1.tipo],MATCH(B79,escolas[Column1.nome],0)),"—"))</f>
        <v/>
      </c>
      <c r="F79">
        <f>IF(B79="","",SUMPRODUCT(MAX((RIGHT(B79,LEN(enderecos_escolas[cidade])+1)=" "&amp;enderecos_escolas[cidade])*LEN(enderecos_escolas[cidade]))))</f>
        <v/>
      </c>
      <c r="G79">
        <f>IF(B79="","",IFERROR(INDEX(enderecos_escolas[estado],MATCH(1,INDEX((RIGHT(B79,LEN(enderecos_escolas[cidade])+1)=" "&amp;enderecos_escolas[cidade])*(LEN(enderecos_escolas[cidade])=F79),0),0)),"—"))</f>
        <v/>
      </c>
      <c r="H79">
        <f>IF(B79="","",IFERROR(VLOOKUP(G79,'Parâmetros'!$A$5:$B$31,2,FALSE),"Não localizada"))</f>
        <v/>
      </c>
      <c r="I79">
        <f>IF(B79="","",IFERROR(INDEX(enderecos_escolas[tipoLocalizacao],MATCH(1,INDEX((RIGHT(B79,LEN(enderecos_escolas[cidade])+1)=" "&amp;enderecos_escolas[cidade])*(LEN(enderecos_escolas[cidade])=F79),0),0)),"—"))</f>
        <v/>
      </c>
      <c r="K79">
        <f>IF(C79="","",IF(AND(OR('Ranking Escolas'!$F$4="Todas",H79='Ranking Escolas'!$F$4),OR('Ranking Escolas'!$I$4="Todos",E79='Ranking Escolas'!$I$4)),C79+(1000-A79)/10000000,""))</f>
        <v/>
      </c>
      <c r="M79" t="n">
        <v>78</v>
      </c>
      <c r="N79">
        <f>IF(M79&gt;ROWS(avaliacoes_cursos[curso]),"",INDEX(avaliacoes_cursos[curso],M79))</f>
        <v/>
      </c>
      <c r="O79">
        <f>IF(N79="","",INDEX(avaliacoes_cursos[escola],M79))</f>
        <v/>
      </c>
      <c r="P79">
        <f>IF(N79="","",INDEX(avaliacoes_cursos[Nota média],M79))</f>
        <v/>
      </c>
      <c r="Q79">
        <f>IF(N79="","",IF(COUNTIF(avaliacoes_cursos[curso],N79)&gt;1,N79&amp;" — "&amp;O79,N79))</f>
        <v/>
      </c>
      <c r="R79">
        <f>IF(P79="","",P79+(1000-M79)/10000000)</f>
        <v/>
      </c>
    </row>
    <row r="80">
      <c r="A80" t="n">
        <v>79</v>
      </c>
      <c r="B80">
        <f>IF(A80&gt;ROWS(avaliacoes_qualidade[escola]),"",INDEX(avaliacoes_qualidade[escola],A80))</f>
        <v/>
      </c>
      <c r="C80">
        <f>IF(B80="","",INDEX(avaliacoes_qualidade[Nota média],A80))</f>
        <v/>
      </c>
      <c r="D80">
        <f>IF(B80="","",INDEX(avaliacoes_qualidade[Avaliações],A80))</f>
        <v/>
      </c>
      <c r="E80">
        <f>IF(B80="","",IFERROR(INDEX(escolas[Column1.tipo],MATCH(B80,escolas[Column1.nome],0)),"—"))</f>
        <v/>
      </c>
      <c r="F80">
        <f>IF(B80="","",SUMPRODUCT(MAX((RIGHT(B80,LEN(enderecos_escolas[cidade])+1)=" "&amp;enderecos_escolas[cidade])*LEN(enderecos_escolas[cidade]))))</f>
        <v/>
      </c>
      <c r="G80">
        <f>IF(B80="","",IFERROR(INDEX(enderecos_escolas[estado],MATCH(1,INDEX((RIGHT(B80,LEN(enderecos_escolas[cidade])+1)=" "&amp;enderecos_escolas[cidade])*(LEN(enderecos_escolas[cidade])=F80),0),0)),"—"))</f>
        <v/>
      </c>
      <c r="H80">
        <f>IF(B80="","",IFERROR(VLOOKUP(G80,'Parâmetros'!$A$5:$B$31,2,FALSE),"Não localizada"))</f>
        <v/>
      </c>
      <c r="I80">
        <f>IF(B80="","",IFERROR(INDEX(enderecos_escolas[tipoLocalizacao],MATCH(1,INDEX((RIGHT(B80,LEN(enderecos_escolas[cidade])+1)=" "&amp;enderecos_escolas[cidade])*(LEN(enderecos_escolas[cidade])=F80),0),0)),"—"))</f>
        <v/>
      </c>
      <c r="K80">
        <f>IF(C80="","",IF(AND(OR('Ranking Escolas'!$F$4="Todas",H80='Ranking Escolas'!$F$4),OR('Ranking Escolas'!$I$4="Todos",E80='Ranking Escolas'!$I$4)),C80+(1000-A80)/10000000,""))</f>
        <v/>
      </c>
      <c r="M80" t="n">
        <v>79</v>
      </c>
      <c r="N80">
        <f>IF(M80&gt;ROWS(avaliacoes_cursos[curso]),"",INDEX(avaliacoes_cursos[curso],M80))</f>
        <v/>
      </c>
      <c r="O80">
        <f>IF(N80="","",INDEX(avaliacoes_cursos[escola],M80))</f>
        <v/>
      </c>
      <c r="P80">
        <f>IF(N80="","",INDEX(avaliacoes_cursos[Nota média],M80))</f>
        <v/>
      </c>
      <c r="Q80">
        <f>IF(N80="","",IF(COUNTIF(avaliacoes_cursos[curso],N80)&gt;1,N80&amp;" — "&amp;O80,N80))</f>
        <v/>
      </c>
      <c r="R80">
        <f>IF(P80="","",P80+(1000-M80)/10000000)</f>
        <v/>
      </c>
    </row>
    <row r="81">
      <c r="A81" t="n">
        <v>80</v>
      </c>
      <c r="B81">
        <f>IF(A81&gt;ROWS(avaliacoes_qualidade[escola]),"",INDEX(avaliacoes_qualidade[escola],A81))</f>
        <v/>
      </c>
      <c r="C81">
        <f>IF(B81="","",INDEX(avaliacoes_qualidade[Nota média],A81))</f>
        <v/>
      </c>
      <c r="D81">
        <f>IF(B81="","",INDEX(avaliacoes_qualidade[Avaliações],A81))</f>
        <v/>
      </c>
      <c r="E81">
        <f>IF(B81="","",IFERROR(INDEX(escolas[Column1.tipo],MATCH(B81,escolas[Column1.nome],0)),"—"))</f>
        <v/>
      </c>
      <c r="F81">
        <f>IF(B81="","",SUMPRODUCT(MAX((RIGHT(B81,LEN(enderecos_escolas[cidade])+1)=" "&amp;enderecos_escolas[cidade])*LEN(enderecos_escolas[cidade]))))</f>
        <v/>
      </c>
      <c r="G81">
        <f>IF(B81="","",IFERROR(INDEX(enderecos_escolas[estado],MATCH(1,INDEX((RIGHT(B81,LEN(enderecos_escolas[cidade])+1)=" "&amp;enderecos_escolas[cidade])*(LEN(enderecos_escolas[cidade])=F81),0),0)),"—"))</f>
        <v/>
      </c>
      <c r="H81">
        <f>IF(B81="","",IFERROR(VLOOKUP(G81,'Parâmetros'!$A$5:$B$31,2,FALSE),"Não localizada"))</f>
        <v/>
      </c>
      <c r="I81">
        <f>IF(B81="","",IFERROR(INDEX(enderecos_escolas[tipoLocalizacao],MATCH(1,INDEX((RIGHT(B81,LEN(enderecos_escolas[cidade])+1)=" "&amp;enderecos_escolas[cidade])*(LEN(enderecos_escolas[cidade])=F81),0),0)),"—"))</f>
        <v/>
      </c>
      <c r="K81">
        <f>IF(C81="","",IF(AND(OR('Ranking Escolas'!$F$4="Todas",H81='Ranking Escolas'!$F$4),OR('Ranking Escolas'!$I$4="Todos",E81='Ranking Escolas'!$I$4)),C81+(1000-A81)/10000000,""))</f>
        <v/>
      </c>
      <c r="M81" t="n">
        <v>80</v>
      </c>
      <c r="N81">
        <f>IF(M81&gt;ROWS(avaliacoes_cursos[curso]),"",INDEX(avaliacoes_cursos[curso],M81))</f>
        <v/>
      </c>
      <c r="O81">
        <f>IF(N81="","",INDEX(avaliacoes_cursos[escola],M81))</f>
        <v/>
      </c>
      <c r="P81">
        <f>IF(N81="","",INDEX(avaliacoes_cursos[Nota média],M81))</f>
        <v/>
      </c>
      <c r="Q81">
        <f>IF(N81="","",IF(COUNTIF(avaliacoes_cursos[curso],N81)&gt;1,N81&amp;" — "&amp;O81,N81))</f>
        <v/>
      </c>
      <c r="R81">
        <f>IF(P81="","",P81+(1000-M81)/10000000)</f>
        <v/>
      </c>
    </row>
    <row r="82">
      <c r="A82" t="n">
        <v>81</v>
      </c>
      <c r="B82">
        <f>IF(A82&gt;ROWS(avaliacoes_qualidade[escola]),"",INDEX(avaliacoes_qualidade[escola],A82))</f>
        <v/>
      </c>
      <c r="C82">
        <f>IF(B82="","",INDEX(avaliacoes_qualidade[Nota média],A82))</f>
        <v/>
      </c>
      <c r="D82">
        <f>IF(B82="","",INDEX(avaliacoes_qualidade[Avaliações],A82))</f>
        <v/>
      </c>
      <c r="E82">
        <f>IF(B82="","",IFERROR(INDEX(escolas[Column1.tipo],MATCH(B82,escolas[Column1.nome],0)),"—"))</f>
        <v/>
      </c>
      <c r="F82">
        <f>IF(B82="","",SUMPRODUCT(MAX((RIGHT(B82,LEN(enderecos_escolas[cidade])+1)=" "&amp;enderecos_escolas[cidade])*LEN(enderecos_escolas[cidade]))))</f>
        <v/>
      </c>
      <c r="G82">
        <f>IF(B82="","",IFERROR(INDEX(enderecos_escolas[estado],MATCH(1,INDEX((RIGHT(B82,LEN(enderecos_escolas[cidade])+1)=" "&amp;enderecos_escolas[cidade])*(LEN(enderecos_escolas[cidade])=F82),0),0)),"—"))</f>
        <v/>
      </c>
      <c r="H82">
        <f>IF(B82="","",IFERROR(VLOOKUP(G82,'Parâmetros'!$A$5:$B$31,2,FALSE),"Não localizada"))</f>
        <v/>
      </c>
      <c r="I82">
        <f>IF(B82="","",IFERROR(INDEX(enderecos_escolas[tipoLocalizacao],MATCH(1,INDEX((RIGHT(B82,LEN(enderecos_escolas[cidade])+1)=" "&amp;enderecos_escolas[cidade])*(LEN(enderecos_escolas[cidade])=F82),0),0)),"—"))</f>
        <v/>
      </c>
      <c r="K82">
        <f>IF(C82="","",IF(AND(OR('Ranking Escolas'!$F$4="Todas",H82='Ranking Escolas'!$F$4),OR('Ranking Escolas'!$I$4="Todos",E82='Ranking Escolas'!$I$4)),C82+(1000-A82)/10000000,""))</f>
        <v/>
      </c>
      <c r="M82" t="n">
        <v>81</v>
      </c>
      <c r="N82">
        <f>IF(M82&gt;ROWS(avaliacoes_cursos[curso]),"",INDEX(avaliacoes_cursos[curso],M82))</f>
        <v/>
      </c>
      <c r="O82">
        <f>IF(N82="","",INDEX(avaliacoes_cursos[escola],M82))</f>
        <v/>
      </c>
      <c r="P82">
        <f>IF(N82="","",INDEX(avaliacoes_cursos[Nota média],M82))</f>
        <v/>
      </c>
      <c r="Q82">
        <f>IF(N82="","",IF(COUNTIF(avaliacoes_cursos[curso],N82)&gt;1,N82&amp;" — "&amp;O82,N82))</f>
        <v/>
      </c>
      <c r="R82">
        <f>IF(P82="","",P82+(1000-M82)/10000000)</f>
        <v/>
      </c>
    </row>
    <row r="83">
      <c r="A83" t="n">
        <v>82</v>
      </c>
      <c r="B83">
        <f>IF(A83&gt;ROWS(avaliacoes_qualidade[escola]),"",INDEX(avaliacoes_qualidade[escola],A83))</f>
        <v/>
      </c>
      <c r="C83">
        <f>IF(B83="","",INDEX(avaliacoes_qualidade[Nota média],A83))</f>
        <v/>
      </c>
      <c r="D83">
        <f>IF(B83="","",INDEX(avaliacoes_qualidade[Avaliações],A83))</f>
        <v/>
      </c>
      <c r="E83">
        <f>IF(B83="","",IFERROR(INDEX(escolas[Column1.tipo],MATCH(B83,escolas[Column1.nome],0)),"—"))</f>
        <v/>
      </c>
      <c r="F83">
        <f>IF(B83="","",SUMPRODUCT(MAX((RIGHT(B83,LEN(enderecos_escolas[cidade])+1)=" "&amp;enderecos_escolas[cidade])*LEN(enderecos_escolas[cidade]))))</f>
        <v/>
      </c>
      <c r="G83">
        <f>IF(B83="","",IFERROR(INDEX(enderecos_escolas[estado],MATCH(1,INDEX((RIGHT(B83,LEN(enderecos_escolas[cidade])+1)=" "&amp;enderecos_escolas[cidade])*(LEN(enderecos_escolas[cidade])=F83),0),0)),"—"))</f>
        <v/>
      </c>
      <c r="H83">
        <f>IF(B83="","",IFERROR(VLOOKUP(G83,'Parâmetros'!$A$5:$B$31,2,FALSE),"Não localizada"))</f>
        <v/>
      </c>
      <c r="I83">
        <f>IF(B83="","",IFERROR(INDEX(enderecos_escolas[tipoLocalizacao],MATCH(1,INDEX((RIGHT(B83,LEN(enderecos_escolas[cidade])+1)=" "&amp;enderecos_escolas[cidade])*(LEN(enderecos_escolas[cidade])=F83),0),0)),"—"))</f>
        <v/>
      </c>
      <c r="K83">
        <f>IF(C83="","",IF(AND(OR('Ranking Escolas'!$F$4="Todas",H83='Ranking Escolas'!$F$4),OR('Ranking Escolas'!$I$4="Todos",E83='Ranking Escolas'!$I$4)),C83+(1000-A83)/10000000,""))</f>
        <v/>
      </c>
      <c r="M83" t="n">
        <v>82</v>
      </c>
      <c r="N83">
        <f>IF(M83&gt;ROWS(avaliacoes_cursos[curso]),"",INDEX(avaliacoes_cursos[curso],M83))</f>
        <v/>
      </c>
      <c r="O83">
        <f>IF(N83="","",INDEX(avaliacoes_cursos[escola],M83))</f>
        <v/>
      </c>
      <c r="P83">
        <f>IF(N83="","",INDEX(avaliacoes_cursos[Nota média],M83))</f>
        <v/>
      </c>
      <c r="Q83">
        <f>IF(N83="","",IF(COUNTIF(avaliacoes_cursos[curso],N83)&gt;1,N83&amp;" — "&amp;O83,N83))</f>
        <v/>
      </c>
      <c r="R83">
        <f>IF(P83="","",P83+(1000-M83)/10000000)</f>
        <v/>
      </c>
    </row>
    <row r="84">
      <c r="A84" t="n">
        <v>83</v>
      </c>
      <c r="B84">
        <f>IF(A84&gt;ROWS(avaliacoes_qualidade[escola]),"",INDEX(avaliacoes_qualidade[escola],A84))</f>
        <v/>
      </c>
      <c r="C84">
        <f>IF(B84="","",INDEX(avaliacoes_qualidade[Nota média],A84))</f>
        <v/>
      </c>
      <c r="D84">
        <f>IF(B84="","",INDEX(avaliacoes_qualidade[Avaliações],A84))</f>
        <v/>
      </c>
      <c r="E84">
        <f>IF(B84="","",IFERROR(INDEX(escolas[Column1.tipo],MATCH(B84,escolas[Column1.nome],0)),"—"))</f>
        <v/>
      </c>
      <c r="F84">
        <f>IF(B84="","",SUMPRODUCT(MAX((RIGHT(B84,LEN(enderecos_escolas[cidade])+1)=" "&amp;enderecos_escolas[cidade])*LEN(enderecos_escolas[cidade]))))</f>
        <v/>
      </c>
      <c r="G84">
        <f>IF(B84="","",IFERROR(INDEX(enderecos_escolas[estado],MATCH(1,INDEX((RIGHT(B84,LEN(enderecos_escolas[cidade])+1)=" "&amp;enderecos_escolas[cidade])*(LEN(enderecos_escolas[cidade])=F84),0),0)),"—"))</f>
        <v/>
      </c>
      <c r="H84">
        <f>IF(B84="","",IFERROR(VLOOKUP(G84,'Parâmetros'!$A$5:$B$31,2,FALSE),"Não localizada"))</f>
        <v/>
      </c>
      <c r="I84">
        <f>IF(B84="","",IFERROR(INDEX(enderecos_escolas[tipoLocalizacao],MATCH(1,INDEX((RIGHT(B84,LEN(enderecos_escolas[cidade])+1)=" "&amp;enderecos_escolas[cidade])*(LEN(enderecos_escolas[cidade])=F84),0),0)),"—"))</f>
        <v/>
      </c>
      <c r="K84">
        <f>IF(C84="","",IF(AND(OR('Ranking Escolas'!$F$4="Todas",H84='Ranking Escolas'!$F$4),OR('Ranking Escolas'!$I$4="Todos",E84='Ranking Escolas'!$I$4)),C84+(1000-A84)/10000000,""))</f>
        <v/>
      </c>
      <c r="M84" t="n">
        <v>83</v>
      </c>
      <c r="N84">
        <f>IF(M84&gt;ROWS(avaliacoes_cursos[curso]),"",INDEX(avaliacoes_cursos[curso],M84))</f>
        <v/>
      </c>
      <c r="O84">
        <f>IF(N84="","",INDEX(avaliacoes_cursos[escola],M84))</f>
        <v/>
      </c>
      <c r="P84">
        <f>IF(N84="","",INDEX(avaliacoes_cursos[Nota média],M84))</f>
        <v/>
      </c>
      <c r="Q84">
        <f>IF(N84="","",IF(COUNTIF(avaliacoes_cursos[curso],N84)&gt;1,N84&amp;" — "&amp;O84,N84))</f>
        <v/>
      </c>
      <c r="R84">
        <f>IF(P84="","",P84+(1000-M84)/10000000)</f>
        <v/>
      </c>
    </row>
    <row r="85">
      <c r="A85" t="n">
        <v>84</v>
      </c>
      <c r="B85">
        <f>IF(A85&gt;ROWS(avaliacoes_qualidade[escola]),"",INDEX(avaliacoes_qualidade[escola],A85))</f>
        <v/>
      </c>
      <c r="C85">
        <f>IF(B85="","",INDEX(avaliacoes_qualidade[Nota média],A85))</f>
        <v/>
      </c>
      <c r="D85">
        <f>IF(B85="","",INDEX(avaliacoes_qualidade[Avaliações],A85))</f>
        <v/>
      </c>
      <c r="E85">
        <f>IF(B85="","",IFERROR(INDEX(escolas[Column1.tipo],MATCH(B85,escolas[Column1.nome],0)),"—"))</f>
        <v/>
      </c>
      <c r="F85">
        <f>IF(B85="","",SUMPRODUCT(MAX((RIGHT(B85,LEN(enderecos_escolas[cidade])+1)=" "&amp;enderecos_escolas[cidade])*LEN(enderecos_escolas[cidade]))))</f>
        <v/>
      </c>
      <c r="G85">
        <f>IF(B85="","",IFERROR(INDEX(enderecos_escolas[estado],MATCH(1,INDEX((RIGHT(B85,LEN(enderecos_escolas[cidade])+1)=" "&amp;enderecos_escolas[cidade])*(LEN(enderecos_escolas[cidade])=F85),0),0)),"—"))</f>
        <v/>
      </c>
      <c r="H85">
        <f>IF(B85="","",IFERROR(VLOOKUP(G85,'Parâmetros'!$A$5:$B$31,2,FALSE),"Não localizada"))</f>
        <v/>
      </c>
      <c r="I85">
        <f>IF(B85="","",IFERROR(INDEX(enderecos_escolas[tipoLocalizacao],MATCH(1,INDEX((RIGHT(B85,LEN(enderecos_escolas[cidade])+1)=" "&amp;enderecos_escolas[cidade])*(LEN(enderecos_escolas[cidade])=F85),0),0)),"—"))</f>
        <v/>
      </c>
      <c r="K85">
        <f>IF(C85="","",IF(AND(OR('Ranking Escolas'!$F$4="Todas",H85='Ranking Escolas'!$F$4),OR('Ranking Escolas'!$I$4="Todos",E85='Ranking Escolas'!$I$4)),C85+(1000-A85)/10000000,""))</f>
        <v/>
      </c>
      <c r="M85" t="n">
        <v>84</v>
      </c>
      <c r="N85">
        <f>IF(M85&gt;ROWS(avaliacoes_cursos[curso]),"",INDEX(avaliacoes_cursos[curso],M85))</f>
        <v/>
      </c>
      <c r="O85">
        <f>IF(N85="","",INDEX(avaliacoes_cursos[escola],M85))</f>
        <v/>
      </c>
      <c r="P85">
        <f>IF(N85="","",INDEX(avaliacoes_cursos[Nota média],M85))</f>
        <v/>
      </c>
      <c r="Q85">
        <f>IF(N85="","",IF(COUNTIF(avaliacoes_cursos[curso],N85)&gt;1,N85&amp;" — "&amp;O85,N85))</f>
        <v/>
      </c>
      <c r="R85">
        <f>IF(P85="","",P85+(1000-M85)/10000000)</f>
        <v/>
      </c>
    </row>
    <row r="86">
      <c r="A86" t="n">
        <v>85</v>
      </c>
      <c r="B86">
        <f>IF(A86&gt;ROWS(avaliacoes_qualidade[escola]),"",INDEX(avaliacoes_qualidade[escola],A86))</f>
        <v/>
      </c>
      <c r="C86">
        <f>IF(B86="","",INDEX(avaliacoes_qualidade[Nota média],A86))</f>
        <v/>
      </c>
      <c r="D86">
        <f>IF(B86="","",INDEX(avaliacoes_qualidade[Avaliações],A86))</f>
        <v/>
      </c>
      <c r="E86">
        <f>IF(B86="","",IFERROR(INDEX(escolas[Column1.tipo],MATCH(B86,escolas[Column1.nome],0)),"—"))</f>
        <v/>
      </c>
      <c r="F86">
        <f>IF(B86="","",SUMPRODUCT(MAX((RIGHT(B86,LEN(enderecos_escolas[cidade])+1)=" "&amp;enderecos_escolas[cidade])*LEN(enderecos_escolas[cidade]))))</f>
        <v/>
      </c>
      <c r="G86">
        <f>IF(B86="","",IFERROR(INDEX(enderecos_escolas[estado],MATCH(1,INDEX((RIGHT(B86,LEN(enderecos_escolas[cidade])+1)=" "&amp;enderecos_escolas[cidade])*(LEN(enderecos_escolas[cidade])=F86),0),0)),"—"))</f>
        <v/>
      </c>
      <c r="H86">
        <f>IF(B86="","",IFERROR(VLOOKUP(G86,'Parâmetros'!$A$5:$B$31,2,FALSE),"Não localizada"))</f>
        <v/>
      </c>
      <c r="I86">
        <f>IF(B86="","",IFERROR(INDEX(enderecos_escolas[tipoLocalizacao],MATCH(1,INDEX((RIGHT(B86,LEN(enderecos_escolas[cidade])+1)=" "&amp;enderecos_escolas[cidade])*(LEN(enderecos_escolas[cidade])=F86),0),0)),"—"))</f>
        <v/>
      </c>
      <c r="K86">
        <f>IF(C86="","",IF(AND(OR('Ranking Escolas'!$F$4="Todas",H86='Ranking Escolas'!$F$4),OR('Ranking Escolas'!$I$4="Todos",E86='Ranking Escolas'!$I$4)),C86+(1000-A86)/10000000,""))</f>
        <v/>
      </c>
      <c r="M86" t="n">
        <v>85</v>
      </c>
      <c r="N86">
        <f>IF(M86&gt;ROWS(avaliacoes_cursos[curso]),"",INDEX(avaliacoes_cursos[curso],M86))</f>
        <v/>
      </c>
      <c r="O86">
        <f>IF(N86="","",INDEX(avaliacoes_cursos[escola],M86))</f>
        <v/>
      </c>
      <c r="P86">
        <f>IF(N86="","",INDEX(avaliacoes_cursos[Nota média],M86))</f>
        <v/>
      </c>
      <c r="Q86">
        <f>IF(N86="","",IF(COUNTIF(avaliacoes_cursos[curso],N86)&gt;1,N86&amp;" — "&amp;O86,N86))</f>
        <v/>
      </c>
      <c r="R86">
        <f>IF(P86="","",P86+(1000-M86)/10000000)</f>
        <v/>
      </c>
    </row>
    <row r="87">
      <c r="A87" t="n">
        <v>86</v>
      </c>
      <c r="B87">
        <f>IF(A87&gt;ROWS(avaliacoes_qualidade[escola]),"",INDEX(avaliacoes_qualidade[escola],A87))</f>
        <v/>
      </c>
      <c r="C87">
        <f>IF(B87="","",INDEX(avaliacoes_qualidade[Nota média],A87))</f>
        <v/>
      </c>
      <c r="D87">
        <f>IF(B87="","",INDEX(avaliacoes_qualidade[Avaliações],A87))</f>
        <v/>
      </c>
      <c r="E87">
        <f>IF(B87="","",IFERROR(INDEX(escolas[Column1.tipo],MATCH(B87,escolas[Column1.nome],0)),"—"))</f>
        <v/>
      </c>
      <c r="F87">
        <f>IF(B87="","",SUMPRODUCT(MAX((RIGHT(B87,LEN(enderecos_escolas[cidade])+1)=" "&amp;enderecos_escolas[cidade])*LEN(enderecos_escolas[cidade]))))</f>
        <v/>
      </c>
      <c r="G87">
        <f>IF(B87="","",IFERROR(INDEX(enderecos_escolas[estado],MATCH(1,INDEX((RIGHT(B87,LEN(enderecos_escolas[cidade])+1)=" "&amp;enderecos_escolas[cidade])*(LEN(enderecos_escolas[cidade])=F87),0),0)),"—"))</f>
        <v/>
      </c>
      <c r="H87">
        <f>IF(B87="","",IFERROR(VLOOKUP(G87,'Parâmetros'!$A$5:$B$31,2,FALSE),"Não localizada"))</f>
        <v/>
      </c>
      <c r="I87">
        <f>IF(B87="","",IFERROR(INDEX(enderecos_escolas[tipoLocalizacao],MATCH(1,INDEX((RIGHT(B87,LEN(enderecos_escolas[cidade])+1)=" "&amp;enderecos_escolas[cidade])*(LEN(enderecos_escolas[cidade])=F87),0),0)),"—"))</f>
        <v/>
      </c>
      <c r="K87">
        <f>IF(C87="","",IF(AND(OR('Ranking Escolas'!$F$4="Todas",H87='Ranking Escolas'!$F$4),OR('Ranking Escolas'!$I$4="Todos",E87='Ranking Escolas'!$I$4)),C87+(1000-A87)/10000000,""))</f>
        <v/>
      </c>
      <c r="M87" t="n">
        <v>86</v>
      </c>
      <c r="N87">
        <f>IF(M87&gt;ROWS(avaliacoes_cursos[curso]),"",INDEX(avaliacoes_cursos[curso],M87))</f>
        <v/>
      </c>
      <c r="O87">
        <f>IF(N87="","",INDEX(avaliacoes_cursos[escola],M87))</f>
        <v/>
      </c>
      <c r="P87">
        <f>IF(N87="","",INDEX(avaliacoes_cursos[Nota média],M87))</f>
        <v/>
      </c>
      <c r="Q87">
        <f>IF(N87="","",IF(COUNTIF(avaliacoes_cursos[curso],N87)&gt;1,N87&amp;" — "&amp;O87,N87))</f>
        <v/>
      </c>
      <c r="R87">
        <f>IF(P87="","",P87+(1000-M87)/10000000)</f>
        <v/>
      </c>
    </row>
    <row r="88">
      <c r="A88" t="n">
        <v>87</v>
      </c>
      <c r="B88">
        <f>IF(A88&gt;ROWS(avaliacoes_qualidade[escola]),"",INDEX(avaliacoes_qualidade[escola],A88))</f>
        <v/>
      </c>
      <c r="C88">
        <f>IF(B88="","",INDEX(avaliacoes_qualidade[Nota média],A88))</f>
        <v/>
      </c>
      <c r="D88">
        <f>IF(B88="","",INDEX(avaliacoes_qualidade[Avaliações],A88))</f>
        <v/>
      </c>
      <c r="E88">
        <f>IF(B88="","",IFERROR(INDEX(escolas[Column1.tipo],MATCH(B88,escolas[Column1.nome],0)),"—"))</f>
        <v/>
      </c>
      <c r="F88">
        <f>IF(B88="","",SUMPRODUCT(MAX((RIGHT(B88,LEN(enderecos_escolas[cidade])+1)=" "&amp;enderecos_escolas[cidade])*LEN(enderecos_escolas[cidade]))))</f>
        <v/>
      </c>
      <c r="G88">
        <f>IF(B88="","",IFERROR(INDEX(enderecos_escolas[estado],MATCH(1,INDEX((RIGHT(B88,LEN(enderecos_escolas[cidade])+1)=" "&amp;enderecos_escolas[cidade])*(LEN(enderecos_escolas[cidade])=F88),0),0)),"—"))</f>
        <v/>
      </c>
      <c r="H88">
        <f>IF(B88="","",IFERROR(VLOOKUP(G88,'Parâmetros'!$A$5:$B$31,2,FALSE),"Não localizada"))</f>
        <v/>
      </c>
      <c r="I88">
        <f>IF(B88="","",IFERROR(INDEX(enderecos_escolas[tipoLocalizacao],MATCH(1,INDEX((RIGHT(B88,LEN(enderecos_escolas[cidade])+1)=" "&amp;enderecos_escolas[cidade])*(LEN(enderecos_escolas[cidade])=F88),0),0)),"—"))</f>
        <v/>
      </c>
      <c r="K88">
        <f>IF(C88="","",IF(AND(OR('Ranking Escolas'!$F$4="Todas",H88='Ranking Escolas'!$F$4),OR('Ranking Escolas'!$I$4="Todos",E88='Ranking Escolas'!$I$4)),C88+(1000-A88)/10000000,""))</f>
        <v/>
      </c>
      <c r="M88" t="n">
        <v>87</v>
      </c>
      <c r="N88">
        <f>IF(M88&gt;ROWS(avaliacoes_cursos[curso]),"",INDEX(avaliacoes_cursos[curso],M88))</f>
        <v/>
      </c>
      <c r="O88">
        <f>IF(N88="","",INDEX(avaliacoes_cursos[escola],M88))</f>
        <v/>
      </c>
      <c r="P88">
        <f>IF(N88="","",INDEX(avaliacoes_cursos[Nota média],M88))</f>
        <v/>
      </c>
      <c r="Q88">
        <f>IF(N88="","",IF(COUNTIF(avaliacoes_cursos[curso],N88)&gt;1,N88&amp;" — "&amp;O88,N88))</f>
        <v/>
      </c>
      <c r="R88">
        <f>IF(P88="","",P88+(1000-M88)/10000000)</f>
        <v/>
      </c>
    </row>
    <row r="89">
      <c r="A89" t="n">
        <v>88</v>
      </c>
      <c r="B89">
        <f>IF(A89&gt;ROWS(avaliacoes_qualidade[escola]),"",INDEX(avaliacoes_qualidade[escola],A89))</f>
        <v/>
      </c>
      <c r="C89">
        <f>IF(B89="","",INDEX(avaliacoes_qualidade[Nota média],A89))</f>
        <v/>
      </c>
      <c r="D89">
        <f>IF(B89="","",INDEX(avaliacoes_qualidade[Avaliações],A89))</f>
        <v/>
      </c>
      <c r="E89">
        <f>IF(B89="","",IFERROR(INDEX(escolas[Column1.tipo],MATCH(B89,escolas[Column1.nome],0)),"—"))</f>
        <v/>
      </c>
      <c r="F89">
        <f>IF(B89="","",SUMPRODUCT(MAX((RIGHT(B89,LEN(enderecos_escolas[cidade])+1)=" "&amp;enderecos_escolas[cidade])*LEN(enderecos_escolas[cidade]))))</f>
        <v/>
      </c>
      <c r="G89">
        <f>IF(B89="","",IFERROR(INDEX(enderecos_escolas[estado],MATCH(1,INDEX((RIGHT(B89,LEN(enderecos_escolas[cidade])+1)=" "&amp;enderecos_escolas[cidade])*(LEN(enderecos_escolas[cidade])=F89),0),0)),"—"))</f>
        <v/>
      </c>
      <c r="H89">
        <f>IF(B89="","",IFERROR(VLOOKUP(G89,'Parâmetros'!$A$5:$B$31,2,FALSE),"Não localizada"))</f>
        <v/>
      </c>
      <c r="I89">
        <f>IF(B89="","",IFERROR(INDEX(enderecos_escolas[tipoLocalizacao],MATCH(1,INDEX((RIGHT(B89,LEN(enderecos_escolas[cidade])+1)=" "&amp;enderecos_escolas[cidade])*(LEN(enderecos_escolas[cidade])=F89),0),0)),"—"))</f>
        <v/>
      </c>
      <c r="K89">
        <f>IF(C89="","",IF(AND(OR('Ranking Escolas'!$F$4="Todas",H89='Ranking Escolas'!$F$4),OR('Ranking Escolas'!$I$4="Todos",E89='Ranking Escolas'!$I$4)),C89+(1000-A89)/10000000,""))</f>
        <v/>
      </c>
      <c r="M89" t="n">
        <v>88</v>
      </c>
      <c r="N89">
        <f>IF(M89&gt;ROWS(avaliacoes_cursos[curso]),"",INDEX(avaliacoes_cursos[curso],M89))</f>
        <v/>
      </c>
      <c r="O89">
        <f>IF(N89="","",INDEX(avaliacoes_cursos[escola],M89))</f>
        <v/>
      </c>
      <c r="P89">
        <f>IF(N89="","",INDEX(avaliacoes_cursos[Nota média],M89))</f>
        <v/>
      </c>
      <c r="Q89">
        <f>IF(N89="","",IF(COUNTIF(avaliacoes_cursos[curso],N89)&gt;1,N89&amp;" — "&amp;O89,N89))</f>
        <v/>
      </c>
      <c r="R89">
        <f>IF(P89="","",P89+(1000-M89)/10000000)</f>
        <v/>
      </c>
    </row>
    <row r="90">
      <c r="A90" t="n">
        <v>89</v>
      </c>
      <c r="B90">
        <f>IF(A90&gt;ROWS(avaliacoes_qualidade[escola]),"",INDEX(avaliacoes_qualidade[escola],A90))</f>
        <v/>
      </c>
      <c r="C90">
        <f>IF(B90="","",INDEX(avaliacoes_qualidade[Nota média],A90))</f>
        <v/>
      </c>
      <c r="D90">
        <f>IF(B90="","",INDEX(avaliacoes_qualidade[Avaliações],A90))</f>
        <v/>
      </c>
      <c r="E90">
        <f>IF(B90="","",IFERROR(INDEX(escolas[Column1.tipo],MATCH(B90,escolas[Column1.nome],0)),"—"))</f>
        <v/>
      </c>
      <c r="F90">
        <f>IF(B90="","",SUMPRODUCT(MAX((RIGHT(B90,LEN(enderecos_escolas[cidade])+1)=" "&amp;enderecos_escolas[cidade])*LEN(enderecos_escolas[cidade]))))</f>
        <v/>
      </c>
      <c r="G90">
        <f>IF(B90="","",IFERROR(INDEX(enderecos_escolas[estado],MATCH(1,INDEX((RIGHT(B90,LEN(enderecos_escolas[cidade])+1)=" "&amp;enderecos_escolas[cidade])*(LEN(enderecos_escolas[cidade])=F90),0),0)),"—"))</f>
        <v/>
      </c>
      <c r="H90">
        <f>IF(B90="","",IFERROR(VLOOKUP(G90,'Parâmetros'!$A$5:$B$31,2,FALSE),"Não localizada"))</f>
        <v/>
      </c>
      <c r="I90">
        <f>IF(B90="","",IFERROR(INDEX(enderecos_escolas[tipoLocalizacao],MATCH(1,INDEX((RIGHT(B90,LEN(enderecos_escolas[cidade])+1)=" "&amp;enderecos_escolas[cidade])*(LEN(enderecos_escolas[cidade])=F90),0),0)),"—"))</f>
        <v/>
      </c>
      <c r="K90">
        <f>IF(C90="","",IF(AND(OR('Ranking Escolas'!$F$4="Todas",H90='Ranking Escolas'!$F$4),OR('Ranking Escolas'!$I$4="Todos",E90='Ranking Escolas'!$I$4)),C90+(1000-A90)/10000000,""))</f>
        <v/>
      </c>
      <c r="M90" t="n">
        <v>89</v>
      </c>
      <c r="N90">
        <f>IF(M90&gt;ROWS(avaliacoes_cursos[curso]),"",INDEX(avaliacoes_cursos[curso],M90))</f>
        <v/>
      </c>
      <c r="O90">
        <f>IF(N90="","",INDEX(avaliacoes_cursos[escola],M90))</f>
        <v/>
      </c>
      <c r="P90">
        <f>IF(N90="","",INDEX(avaliacoes_cursos[Nota média],M90))</f>
        <v/>
      </c>
      <c r="Q90">
        <f>IF(N90="","",IF(COUNTIF(avaliacoes_cursos[curso],N90)&gt;1,N90&amp;" — "&amp;O90,N90))</f>
        <v/>
      </c>
      <c r="R90">
        <f>IF(P90="","",P90+(1000-M90)/10000000)</f>
        <v/>
      </c>
    </row>
    <row r="91">
      <c r="A91" t="n">
        <v>90</v>
      </c>
      <c r="B91">
        <f>IF(A91&gt;ROWS(avaliacoes_qualidade[escola]),"",INDEX(avaliacoes_qualidade[escola],A91))</f>
        <v/>
      </c>
      <c r="C91">
        <f>IF(B91="","",INDEX(avaliacoes_qualidade[Nota média],A91))</f>
        <v/>
      </c>
      <c r="D91">
        <f>IF(B91="","",INDEX(avaliacoes_qualidade[Avaliações],A91))</f>
        <v/>
      </c>
      <c r="E91">
        <f>IF(B91="","",IFERROR(INDEX(escolas[Column1.tipo],MATCH(B91,escolas[Column1.nome],0)),"—"))</f>
        <v/>
      </c>
      <c r="F91">
        <f>IF(B91="","",SUMPRODUCT(MAX((RIGHT(B91,LEN(enderecos_escolas[cidade])+1)=" "&amp;enderecos_escolas[cidade])*LEN(enderecos_escolas[cidade]))))</f>
        <v/>
      </c>
      <c r="G91">
        <f>IF(B91="","",IFERROR(INDEX(enderecos_escolas[estado],MATCH(1,INDEX((RIGHT(B91,LEN(enderecos_escolas[cidade])+1)=" "&amp;enderecos_escolas[cidade])*(LEN(enderecos_escolas[cidade])=F91),0),0)),"—"))</f>
        <v/>
      </c>
      <c r="H91">
        <f>IF(B91="","",IFERROR(VLOOKUP(G91,'Parâmetros'!$A$5:$B$31,2,FALSE),"Não localizada"))</f>
        <v/>
      </c>
      <c r="I91">
        <f>IF(B91="","",IFERROR(INDEX(enderecos_escolas[tipoLocalizacao],MATCH(1,INDEX((RIGHT(B91,LEN(enderecos_escolas[cidade])+1)=" "&amp;enderecos_escolas[cidade])*(LEN(enderecos_escolas[cidade])=F91),0),0)),"—"))</f>
        <v/>
      </c>
      <c r="K91">
        <f>IF(C91="","",IF(AND(OR('Ranking Escolas'!$F$4="Todas",H91='Ranking Escolas'!$F$4),OR('Ranking Escolas'!$I$4="Todos",E91='Ranking Escolas'!$I$4)),C91+(1000-A91)/10000000,""))</f>
        <v/>
      </c>
      <c r="M91" t="n">
        <v>90</v>
      </c>
      <c r="N91">
        <f>IF(M91&gt;ROWS(avaliacoes_cursos[curso]),"",INDEX(avaliacoes_cursos[curso],M91))</f>
        <v/>
      </c>
      <c r="O91">
        <f>IF(N91="","",INDEX(avaliacoes_cursos[escola],M91))</f>
        <v/>
      </c>
      <c r="P91">
        <f>IF(N91="","",INDEX(avaliacoes_cursos[Nota média],M91))</f>
        <v/>
      </c>
      <c r="Q91">
        <f>IF(N91="","",IF(COUNTIF(avaliacoes_cursos[curso],N91)&gt;1,N91&amp;" — "&amp;O91,N91))</f>
        <v/>
      </c>
      <c r="R91">
        <f>IF(P91="","",P91+(1000-M91)/10000000)</f>
        <v/>
      </c>
    </row>
    <row r="92">
      <c r="A92" t="n">
        <v>91</v>
      </c>
      <c r="B92">
        <f>IF(A92&gt;ROWS(avaliacoes_qualidade[escola]),"",INDEX(avaliacoes_qualidade[escola],A92))</f>
        <v/>
      </c>
      <c r="C92">
        <f>IF(B92="","",INDEX(avaliacoes_qualidade[Nota média],A92))</f>
        <v/>
      </c>
      <c r="D92">
        <f>IF(B92="","",INDEX(avaliacoes_qualidade[Avaliações],A92))</f>
        <v/>
      </c>
      <c r="E92">
        <f>IF(B92="","",IFERROR(INDEX(escolas[Column1.tipo],MATCH(B92,escolas[Column1.nome],0)),"—"))</f>
        <v/>
      </c>
      <c r="F92">
        <f>IF(B92="","",SUMPRODUCT(MAX((RIGHT(B92,LEN(enderecos_escolas[cidade])+1)=" "&amp;enderecos_escolas[cidade])*LEN(enderecos_escolas[cidade]))))</f>
        <v/>
      </c>
      <c r="G92">
        <f>IF(B92="","",IFERROR(INDEX(enderecos_escolas[estado],MATCH(1,INDEX((RIGHT(B92,LEN(enderecos_escolas[cidade])+1)=" "&amp;enderecos_escolas[cidade])*(LEN(enderecos_escolas[cidade])=F92),0),0)),"—"))</f>
        <v/>
      </c>
      <c r="H92">
        <f>IF(B92="","",IFERROR(VLOOKUP(G92,'Parâmetros'!$A$5:$B$31,2,FALSE),"Não localizada"))</f>
        <v/>
      </c>
      <c r="I92">
        <f>IF(B92="","",IFERROR(INDEX(enderecos_escolas[tipoLocalizacao],MATCH(1,INDEX((RIGHT(B92,LEN(enderecos_escolas[cidade])+1)=" "&amp;enderecos_escolas[cidade])*(LEN(enderecos_escolas[cidade])=F92),0),0)),"—"))</f>
        <v/>
      </c>
      <c r="K92">
        <f>IF(C92="","",IF(AND(OR('Ranking Escolas'!$F$4="Todas",H92='Ranking Escolas'!$F$4),OR('Ranking Escolas'!$I$4="Todos",E92='Ranking Escolas'!$I$4)),C92+(1000-A92)/10000000,""))</f>
        <v/>
      </c>
      <c r="M92" t="n">
        <v>91</v>
      </c>
      <c r="N92">
        <f>IF(M92&gt;ROWS(avaliacoes_cursos[curso]),"",INDEX(avaliacoes_cursos[curso],M92))</f>
        <v/>
      </c>
      <c r="O92">
        <f>IF(N92="","",INDEX(avaliacoes_cursos[escola],M92))</f>
        <v/>
      </c>
      <c r="P92">
        <f>IF(N92="","",INDEX(avaliacoes_cursos[Nota média],M92))</f>
        <v/>
      </c>
      <c r="Q92">
        <f>IF(N92="","",IF(COUNTIF(avaliacoes_cursos[curso],N92)&gt;1,N92&amp;" — "&amp;O92,N92))</f>
        <v/>
      </c>
      <c r="R92">
        <f>IF(P92="","",P92+(1000-M92)/10000000)</f>
        <v/>
      </c>
    </row>
    <row r="93">
      <c r="A93" t="n">
        <v>92</v>
      </c>
      <c r="B93">
        <f>IF(A93&gt;ROWS(avaliacoes_qualidade[escola]),"",INDEX(avaliacoes_qualidade[escola],A93))</f>
        <v/>
      </c>
      <c r="C93">
        <f>IF(B93="","",INDEX(avaliacoes_qualidade[Nota média],A93))</f>
        <v/>
      </c>
      <c r="D93">
        <f>IF(B93="","",INDEX(avaliacoes_qualidade[Avaliações],A93))</f>
        <v/>
      </c>
      <c r="E93">
        <f>IF(B93="","",IFERROR(INDEX(escolas[Column1.tipo],MATCH(B93,escolas[Column1.nome],0)),"—"))</f>
        <v/>
      </c>
      <c r="F93">
        <f>IF(B93="","",SUMPRODUCT(MAX((RIGHT(B93,LEN(enderecos_escolas[cidade])+1)=" "&amp;enderecos_escolas[cidade])*LEN(enderecos_escolas[cidade]))))</f>
        <v/>
      </c>
      <c r="G93">
        <f>IF(B93="","",IFERROR(INDEX(enderecos_escolas[estado],MATCH(1,INDEX((RIGHT(B93,LEN(enderecos_escolas[cidade])+1)=" "&amp;enderecos_escolas[cidade])*(LEN(enderecos_escolas[cidade])=F93),0),0)),"—"))</f>
        <v/>
      </c>
      <c r="H93">
        <f>IF(B93="","",IFERROR(VLOOKUP(G93,'Parâmetros'!$A$5:$B$31,2,FALSE),"Não localizada"))</f>
        <v/>
      </c>
      <c r="I93">
        <f>IF(B93="","",IFERROR(INDEX(enderecos_escolas[tipoLocalizacao],MATCH(1,INDEX((RIGHT(B93,LEN(enderecos_escolas[cidade])+1)=" "&amp;enderecos_escolas[cidade])*(LEN(enderecos_escolas[cidade])=F93),0),0)),"—"))</f>
        <v/>
      </c>
      <c r="K93">
        <f>IF(C93="","",IF(AND(OR('Ranking Escolas'!$F$4="Todas",H93='Ranking Escolas'!$F$4),OR('Ranking Escolas'!$I$4="Todos",E93='Ranking Escolas'!$I$4)),C93+(1000-A93)/10000000,""))</f>
        <v/>
      </c>
      <c r="M93" t="n">
        <v>92</v>
      </c>
      <c r="N93">
        <f>IF(M93&gt;ROWS(avaliacoes_cursos[curso]),"",INDEX(avaliacoes_cursos[curso],M93))</f>
        <v/>
      </c>
      <c r="O93">
        <f>IF(N93="","",INDEX(avaliacoes_cursos[escola],M93))</f>
        <v/>
      </c>
      <c r="P93">
        <f>IF(N93="","",INDEX(avaliacoes_cursos[Nota média],M93))</f>
        <v/>
      </c>
      <c r="Q93">
        <f>IF(N93="","",IF(COUNTIF(avaliacoes_cursos[curso],N93)&gt;1,N93&amp;" — "&amp;O93,N93))</f>
        <v/>
      </c>
      <c r="R93">
        <f>IF(P93="","",P93+(1000-M93)/10000000)</f>
        <v/>
      </c>
    </row>
    <row r="94">
      <c r="A94" t="n">
        <v>93</v>
      </c>
      <c r="B94">
        <f>IF(A94&gt;ROWS(avaliacoes_qualidade[escola]),"",INDEX(avaliacoes_qualidade[escola],A94))</f>
        <v/>
      </c>
      <c r="C94">
        <f>IF(B94="","",INDEX(avaliacoes_qualidade[Nota média],A94))</f>
        <v/>
      </c>
      <c r="D94">
        <f>IF(B94="","",INDEX(avaliacoes_qualidade[Avaliações],A94))</f>
        <v/>
      </c>
      <c r="E94">
        <f>IF(B94="","",IFERROR(INDEX(escolas[Column1.tipo],MATCH(B94,escolas[Column1.nome],0)),"—"))</f>
        <v/>
      </c>
      <c r="F94">
        <f>IF(B94="","",SUMPRODUCT(MAX((RIGHT(B94,LEN(enderecos_escolas[cidade])+1)=" "&amp;enderecos_escolas[cidade])*LEN(enderecos_escolas[cidade]))))</f>
        <v/>
      </c>
      <c r="G94">
        <f>IF(B94="","",IFERROR(INDEX(enderecos_escolas[estado],MATCH(1,INDEX((RIGHT(B94,LEN(enderecos_escolas[cidade])+1)=" "&amp;enderecos_escolas[cidade])*(LEN(enderecos_escolas[cidade])=F94),0),0)),"—"))</f>
        <v/>
      </c>
      <c r="H94">
        <f>IF(B94="","",IFERROR(VLOOKUP(G94,'Parâmetros'!$A$5:$B$31,2,FALSE),"Não localizada"))</f>
        <v/>
      </c>
      <c r="I94">
        <f>IF(B94="","",IFERROR(INDEX(enderecos_escolas[tipoLocalizacao],MATCH(1,INDEX((RIGHT(B94,LEN(enderecos_escolas[cidade])+1)=" "&amp;enderecos_escolas[cidade])*(LEN(enderecos_escolas[cidade])=F94),0),0)),"—"))</f>
        <v/>
      </c>
      <c r="K94">
        <f>IF(C94="","",IF(AND(OR('Ranking Escolas'!$F$4="Todas",H94='Ranking Escolas'!$F$4),OR('Ranking Escolas'!$I$4="Todos",E94='Ranking Escolas'!$I$4)),C94+(1000-A94)/10000000,""))</f>
        <v/>
      </c>
      <c r="M94" t="n">
        <v>93</v>
      </c>
      <c r="N94">
        <f>IF(M94&gt;ROWS(avaliacoes_cursos[curso]),"",INDEX(avaliacoes_cursos[curso],M94))</f>
        <v/>
      </c>
      <c r="O94">
        <f>IF(N94="","",INDEX(avaliacoes_cursos[escola],M94))</f>
        <v/>
      </c>
      <c r="P94">
        <f>IF(N94="","",INDEX(avaliacoes_cursos[Nota média],M94))</f>
        <v/>
      </c>
      <c r="Q94">
        <f>IF(N94="","",IF(COUNTIF(avaliacoes_cursos[curso],N94)&gt;1,N94&amp;" — "&amp;O94,N94))</f>
        <v/>
      </c>
      <c r="R94">
        <f>IF(P94="","",P94+(1000-M94)/10000000)</f>
        <v/>
      </c>
    </row>
    <row r="95">
      <c r="A95" t="n">
        <v>94</v>
      </c>
      <c r="B95">
        <f>IF(A95&gt;ROWS(avaliacoes_qualidade[escola]),"",INDEX(avaliacoes_qualidade[escola],A95))</f>
        <v/>
      </c>
      <c r="C95">
        <f>IF(B95="","",INDEX(avaliacoes_qualidade[Nota média],A95))</f>
        <v/>
      </c>
      <c r="D95">
        <f>IF(B95="","",INDEX(avaliacoes_qualidade[Avaliações],A95))</f>
        <v/>
      </c>
      <c r="E95">
        <f>IF(B95="","",IFERROR(INDEX(escolas[Column1.tipo],MATCH(B95,escolas[Column1.nome],0)),"—"))</f>
        <v/>
      </c>
      <c r="F95">
        <f>IF(B95="","",SUMPRODUCT(MAX((RIGHT(B95,LEN(enderecos_escolas[cidade])+1)=" "&amp;enderecos_escolas[cidade])*LEN(enderecos_escolas[cidade]))))</f>
        <v/>
      </c>
      <c r="G95">
        <f>IF(B95="","",IFERROR(INDEX(enderecos_escolas[estado],MATCH(1,INDEX((RIGHT(B95,LEN(enderecos_escolas[cidade])+1)=" "&amp;enderecos_escolas[cidade])*(LEN(enderecos_escolas[cidade])=F95),0),0)),"—"))</f>
        <v/>
      </c>
      <c r="H95">
        <f>IF(B95="","",IFERROR(VLOOKUP(G95,'Parâmetros'!$A$5:$B$31,2,FALSE),"Não localizada"))</f>
        <v/>
      </c>
      <c r="I95">
        <f>IF(B95="","",IFERROR(INDEX(enderecos_escolas[tipoLocalizacao],MATCH(1,INDEX((RIGHT(B95,LEN(enderecos_escolas[cidade])+1)=" "&amp;enderecos_escolas[cidade])*(LEN(enderecos_escolas[cidade])=F95),0),0)),"—"))</f>
        <v/>
      </c>
      <c r="K95">
        <f>IF(C95="","",IF(AND(OR('Ranking Escolas'!$F$4="Todas",H95='Ranking Escolas'!$F$4),OR('Ranking Escolas'!$I$4="Todos",E95='Ranking Escolas'!$I$4)),C95+(1000-A95)/10000000,""))</f>
        <v/>
      </c>
      <c r="M95" t="n">
        <v>94</v>
      </c>
      <c r="N95">
        <f>IF(M95&gt;ROWS(avaliacoes_cursos[curso]),"",INDEX(avaliacoes_cursos[curso],M95))</f>
        <v/>
      </c>
      <c r="O95">
        <f>IF(N95="","",INDEX(avaliacoes_cursos[escola],M95))</f>
        <v/>
      </c>
      <c r="P95">
        <f>IF(N95="","",INDEX(avaliacoes_cursos[Nota média],M95))</f>
        <v/>
      </c>
      <c r="Q95">
        <f>IF(N95="","",IF(COUNTIF(avaliacoes_cursos[curso],N95)&gt;1,N95&amp;" — "&amp;O95,N95))</f>
        <v/>
      </c>
      <c r="R95">
        <f>IF(P95="","",P95+(1000-M95)/10000000)</f>
        <v/>
      </c>
    </row>
    <row r="96">
      <c r="A96" t="n">
        <v>95</v>
      </c>
      <c r="B96">
        <f>IF(A96&gt;ROWS(avaliacoes_qualidade[escola]),"",INDEX(avaliacoes_qualidade[escola],A96))</f>
        <v/>
      </c>
      <c r="C96">
        <f>IF(B96="","",INDEX(avaliacoes_qualidade[Nota média],A96))</f>
        <v/>
      </c>
      <c r="D96">
        <f>IF(B96="","",INDEX(avaliacoes_qualidade[Avaliações],A96))</f>
        <v/>
      </c>
      <c r="E96">
        <f>IF(B96="","",IFERROR(INDEX(escolas[Column1.tipo],MATCH(B96,escolas[Column1.nome],0)),"—"))</f>
        <v/>
      </c>
      <c r="F96">
        <f>IF(B96="","",SUMPRODUCT(MAX((RIGHT(B96,LEN(enderecos_escolas[cidade])+1)=" "&amp;enderecos_escolas[cidade])*LEN(enderecos_escolas[cidade]))))</f>
        <v/>
      </c>
      <c r="G96">
        <f>IF(B96="","",IFERROR(INDEX(enderecos_escolas[estado],MATCH(1,INDEX((RIGHT(B96,LEN(enderecos_escolas[cidade])+1)=" "&amp;enderecos_escolas[cidade])*(LEN(enderecos_escolas[cidade])=F96),0),0)),"—"))</f>
        <v/>
      </c>
      <c r="H96">
        <f>IF(B96="","",IFERROR(VLOOKUP(G96,'Parâmetros'!$A$5:$B$31,2,FALSE),"Não localizada"))</f>
        <v/>
      </c>
      <c r="I96">
        <f>IF(B96="","",IFERROR(INDEX(enderecos_escolas[tipoLocalizacao],MATCH(1,INDEX((RIGHT(B96,LEN(enderecos_escolas[cidade])+1)=" "&amp;enderecos_escolas[cidade])*(LEN(enderecos_escolas[cidade])=F96),0),0)),"—"))</f>
        <v/>
      </c>
      <c r="K96">
        <f>IF(C96="","",IF(AND(OR('Ranking Escolas'!$F$4="Todas",H96='Ranking Escolas'!$F$4),OR('Ranking Escolas'!$I$4="Todos",E96='Ranking Escolas'!$I$4)),C96+(1000-A96)/10000000,""))</f>
        <v/>
      </c>
      <c r="M96" t="n">
        <v>95</v>
      </c>
      <c r="N96">
        <f>IF(M96&gt;ROWS(avaliacoes_cursos[curso]),"",INDEX(avaliacoes_cursos[curso],M96))</f>
        <v/>
      </c>
      <c r="O96">
        <f>IF(N96="","",INDEX(avaliacoes_cursos[escola],M96))</f>
        <v/>
      </c>
      <c r="P96">
        <f>IF(N96="","",INDEX(avaliacoes_cursos[Nota média],M96))</f>
        <v/>
      </c>
      <c r="Q96">
        <f>IF(N96="","",IF(COUNTIF(avaliacoes_cursos[curso],N96)&gt;1,N96&amp;" — "&amp;O96,N96))</f>
        <v/>
      </c>
      <c r="R96">
        <f>IF(P96="","",P96+(1000-M96)/10000000)</f>
        <v/>
      </c>
    </row>
    <row r="97">
      <c r="A97" t="n">
        <v>96</v>
      </c>
      <c r="B97">
        <f>IF(A97&gt;ROWS(avaliacoes_qualidade[escola]),"",INDEX(avaliacoes_qualidade[escola],A97))</f>
        <v/>
      </c>
      <c r="C97">
        <f>IF(B97="","",INDEX(avaliacoes_qualidade[Nota média],A97))</f>
        <v/>
      </c>
      <c r="D97">
        <f>IF(B97="","",INDEX(avaliacoes_qualidade[Avaliações],A97))</f>
        <v/>
      </c>
      <c r="E97">
        <f>IF(B97="","",IFERROR(INDEX(escolas[Column1.tipo],MATCH(B97,escolas[Column1.nome],0)),"—"))</f>
        <v/>
      </c>
      <c r="F97">
        <f>IF(B97="","",SUMPRODUCT(MAX((RIGHT(B97,LEN(enderecos_escolas[cidade])+1)=" "&amp;enderecos_escolas[cidade])*LEN(enderecos_escolas[cidade]))))</f>
        <v/>
      </c>
      <c r="G97">
        <f>IF(B97="","",IFERROR(INDEX(enderecos_escolas[estado],MATCH(1,INDEX((RIGHT(B97,LEN(enderecos_escolas[cidade])+1)=" "&amp;enderecos_escolas[cidade])*(LEN(enderecos_escolas[cidade])=F97),0),0)),"—"))</f>
        <v/>
      </c>
      <c r="H97">
        <f>IF(B97="","",IFERROR(VLOOKUP(G97,'Parâmetros'!$A$5:$B$31,2,FALSE),"Não localizada"))</f>
        <v/>
      </c>
      <c r="I97">
        <f>IF(B97="","",IFERROR(INDEX(enderecos_escolas[tipoLocalizacao],MATCH(1,INDEX((RIGHT(B97,LEN(enderecos_escolas[cidade])+1)=" "&amp;enderecos_escolas[cidade])*(LEN(enderecos_escolas[cidade])=F97),0),0)),"—"))</f>
        <v/>
      </c>
      <c r="K97">
        <f>IF(C97="","",IF(AND(OR('Ranking Escolas'!$F$4="Todas",H97='Ranking Escolas'!$F$4),OR('Ranking Escolas'!$I$4="Todos",E97='Ranking Escolas'!$I$4)),C97+(1000-A97)/10000000,""))</f>
        <v/>
      </c>
      <c r="M97" t="n">
        <v>96</v>
      </c>
      <c r="N97">
        <f>IF(M97&gt;ROWS(avaliacoes_cursos[curso]),"",INDEX(avaliacoes_cursos[curso],M97))</f>
        <v/>
      </c>
      <c r="O97">
        <f>IF(N97="","",INDEX(avaliacoes_cursos[escola],M97))</f>
        <v/>
      </c>
      <c r="P97">
        <f>IF(N97="","",INDEX(avaliacoes_cursos[Nota média],M97))</f>
        <v/>
      </c>
      <c r="Q97">
        <f>IF(N97="","",IF(COUNTIF(avaliacoes_cursos[curso],N97)&gt;1,N97&amp;" — "&amp;O97,N97))</f>
        <v/>
      </c>
      <c r="R97">
        <f>IF(P97="","",P97+(1000-M97)/10000000)</f>
        <v/>
      </c>
    </row>
    <row r="98">
      <c r="A98" t="n">
        <v>97</v>
      </c>
      <c r="B98">
        <f>IF(A98&gt;ROWS(avaliacoes_qualidade[escola]),"",INDEX(avaliacoes_qualidade[escola],A98))</f>
        <v/>
      </c>
      <c r="C98">
        <f>IF(B98="","",INDEX(avaliacoes_qualidade[Nota média],A98))</f>
        <v/>
      </c>
      <c r="D98">
        <f>IF(B98="","",INDEX(avaliacoes_qualidade[Avaliações],A98))</f>
        <v/>
      </c>
      <c r="E98">
        <f>IF(B98="","",IFERROR(INDEX(escolas[Column1.tipo],MATCH(B98,escolas[Column1.nome],0)),"—"))</f>
        <v/>
      </c>
      <c r="F98">
        <f>IF(B98="","",SUMPRODUCT(MAX((RIGHT(B98,LEN(enderecos_escolas[cidade])+1)=" "&amp;enderecos_escolas[cidade])*LEN(enderecos_escolas[cidade]))))</f>
        <v/>
      </c>
      <c r="G98">
        <f>IF(B98="","",IFERROR(INDEX(enderecos_escolas[estado],MATCH(1,INDEX((RIGHT(B98,LEN(enderecos_escolas[cidade])+1)=" "&amp;enderecos_escolas[cidade])*(LEN(enderecos_escolas[cidade])=F98),0),0)),"—"))</f>
        <v/>
      </c>
      <c r="H98">
        <f>IF(B98="","",IFERROR(VLOOKUP(G98,'Parâmetros'!$A$5:$B$31,2,FALSE),"Não localizada"))</f>
        <v/>
      </c>
      <c r="I98">
        <f>IF(B98="","",IFERROR(INDEX(enderecos_escolas[tipoLocalizacao],MATCH(1,INDEX((RIGHT(B98,LEN(enderecos_escolas[cidade])+1)=" "&amp;enderecos_escolas[cidade])*(LEN(enderecos_escolas[cidade])=F98),0),0)),"—"))</f>
        <v/>
      </c>
      <c r="K98">
        <f>IF(C98="","",IF(AND(OR('Ranking Escolas'!$F$4="Todas",H98='Ranking Escolas'!$F$4),OR('Ranking Escolas'!$I$4="Todos",E98='Ranking Escolas'!$I$4)),C98+(1000-A98)/10000000,""))</f>
        <v/>
      </c>
      <c r="M98" t="n">
        <v>97</v>
      </c>
      <c r="N98">
        <f>IF(M98&gt;ROWS(avaliacoes_cursos[curso]),"",INDEX(avaliacoes_cursos[curso],M98))</f>
        <v/>
      </c>
      <c r="O98">
        <f>IF(N98="","",INDEX(avaliacoes_cursos[escola],M98))</f>
        <v/>
      </c>
      <c r="P98">
        <f>IF(N98="","",INDEX(avaliacoes_cursos[Nota média],M98))</f>
        <v/>
      </c>
      <c r="Q98">
        <f>IF(N98="","",IF(COUNTIF(avaliacoes_cursos[curso],N98)&gt;1,N98&amp;" — "&amp;O98,N98))</f>
        <v/>
      </c>
      <c r="R98">
        <f>IF(P98="","",P98+(1000-M98)/10000000)</f>
        <v/>
      </c>
    </row>
    <row r="99">
      <c r="A99" t="n">
        <v>98</v>
      </c>
      <c r="B99">
        <f>IF(A99&gt;ROWS(avaliacoes_qualidade[escola]),"",INDEX(avaliacoes_qualidade[escola],A99))</f>
        <v/>
      </c>
      <c r="C99">
        <f>IF(B99="","",INDEX(avaliacoes_qualidade[Nota média],A99))</f>
        <v/>
      </c>
      <c r="D99">
        <f>IF(B99="","",INDEX(avaliacoes_qualidade[Avaliações],A99))</f>
        <v/>
      </c>
      <c r="E99">
        <f>IF(B99="","",IFERROR(INDEX(escolas[Column1.tipo],MATCH(B99,escolas[Column1.nome],0)),"—"))</f>
        <v/>
      </c>
      <c r="F99">
        <f>IF(B99="","",SUMPRODUCT(MAX((RIGHT(B99,LEN(enderecos_escolas[cidade])+1)=" "&amp;enderecos_escolas[cidade])*LEN(enderecos_escolas[cidade]))))</f>
        <v/>
      </c>
      <c r="G99">
        <f>IF(B99="","",IFERROR(INDEX(enderecos_escolas[estado],MATCH(1,INDEX((RIGHT(B99,LEN(enderecos_escolas[cidade])+1)=" "&amp;enderecos_escolas[cidade])*(LEN(enderecos_escolas[cidade])=F99),0),0)),"—"))</f>
        <v/>
      </c>
      <c r="H99">
        <f>IF(B99="","",IFERROR(VLOOKUP(G99,'Parâmetros'!$A$5:$B$31,2,FALSE),"Não localizada"))</f>
        <v/>
      </c>
      <c r="I99">
        <f>IF(B99="","",IFERROR(INDEX(enderecos_escolas[tipoLocalizacao],MATCH(1,INDEX((RIGHT(B99,LEN(enderecos_escolas[cidade])+1)=" "&amp;enderecos_escolas[cidade])*(LEN(enderecos_escolas[cidade])=F99),0),0)),"—"))</f>
        <v/>
      </c>
      <c r="K99">
        <f>IF(C99="","",IF(AND(OR('Ranking Escolas'!$F$4="Todas",H99='Ranking Escolas'!$F$4),OR('Ranking Escolas'!$I$4="Todos",E99='Ranking Escolas'!$I$4)),C99+(1000-A99)/10000000,""))</f>
        <v/>
      </c>
      <c r="M99" t="n">
        <v>98</v>
      </c>
      <c r="N99">
        <f>IF(M99&gt;ROWS(avaliacoes_cursos[curso]),"",INDEX(avaliacoes_cursos[curso],M99))</f>
        <v/>
      </c>
      <c r="O99">
        <f>IF(N99="","",INDEX(avaliacoes_cursos[escola],M99))</f>
        <v/>
      </c>
      <c r="P99">
        <f>IF(N99="","",INDEX(avaliacoes_cursos[Nota média],M99))</f>
        <v/>
      </c>
      <c r="Q99">
        <f>IF(N99="","",IF(COUNTIF(avaliacoes_cursos[curso],N99)&gt;1,N99&amp;" — "&amp;O99,N99))</f>
        <v/>
      </c>
      <c r="R99">
        <f>IF(P99="","",P99+(1000-M99)/10000000)</f>
        <v/>
      </c>
    </row>
    <row r="100">
      <c r="A100" t="n">
        <v>99</v>
      </c>
      <c r="B100">
        <f>IF(A100&gt;ROWS(avaliacoes_qualidade[escola]),"",INDEX(avaliacoes_qualidade[escola],A100))</f>
        <v/>
      </c>
      <c r="C100">
        <f>IF(B100="","",INDEX(avaliacoes_qualidade[Nota média],A100))</f>
        <v/>
      </c>
      <c r="D100">
        <f>IF(B100="","",INDEX(avaliacoes_qualidade[Avaliações],A100))</f>
        <v/>
      </c>
      <c r="E100">
        <f>IF(B100="","",IFERROR(INDEX(escolas[Column1.tipo],MATCH(B100,escolas[Column1.nome],0)),"—"))</f>
        <v/>
      </c>
      <c r="F100">
        <f>IF(B100="","",SUMPRODUCT(MAX((RIGHT(B100,LEN(enderecos_escolas[cidade])+1)=" "&amp;enderecos_escolas[cidade])*LEN(enderecos_escolas[cidade]))))</f>
        <v/>
      </c>
      <c r="G100">
        <f>IF(B100="","",IFERROR(INDEX(enderecos_escolas[estado],MATCH(1,INDEX((RIGHT(B100,LEN(enderecos_escolas[cidade])+1)=" "&amp;enderecos_escolas[cidade])*(LEN(enderecos_escolas[cidade])=F100),0),0)),"—"))</f>
        <v/>
      </c>
      <c r="H100">
        <f>IF(B100="","",IFERROR(VLOOKUP(G100,'Parâmetros'!$A$5:$B$31,2,FALSE),"Não localizada"))</f>
        <v/>
      </c>
      <c r="I100">
        <f>IF(B100="","",IFERROR(INDEX(enderecos_escolas[tipoLocalizacao],MATCH(1,INDEX((RIGHT(B100,LEN(enderecos_escolas[cidade])+1)=" "&amp;enderecos_escolas[cidade])*(LEN(enderecos_escolas[cidade])=F100),0),0)),"—"))</f>
        <v/>
      </c>
      <c r="K100">
        <f>IF(C100="","",IF(AND(OR('Ranking Escolas'!$F$4="Todas",H100='Ranking Escolas'!$F$4),OR('Ranking Escolas'!$I$4="Todos",E100='Ranking Escolas'!$I$4)),C100+(1000-A100)/10000000,""))</f>
        <v/>
      </c>
      <c r="M100" t="n">
        <v>99</v>
      </c>
      <c r="N100">
        <f>IF(M100&gt;ROWS(avaliacoes_cursos[curso]),"",INDEX(avaliacoes_cursos[curso],M100))</f>
        <v/>
      </c>
      <c r="O100">
        <f>IF(N100="","",INDEX(avaliacoes_cursos[escola],M100))</f>
        <v/>
      </c>
      <c r="P100">
        <f>IF(N100="","",INDEX(avaliacoes_cursos[Nota média],M100))</f>
        <v/>
      </c>
      <c r="Q100">
        <f>IF(N100="","",IF(COUNTIF(avaliacoes_cursos[curso],N100)&gt;1,N100&amp;" — "&amp;O100,N100))</f>
        <v/>
      </c>
      <c r="R100">
        <f>IF(P100="","",P100+(1000-M100)/10000000)</f>
        <v/>
      </c>
    </row>
    <row r="101">
      <c r="A101" t="n">
        <v>100</v>
      </c>
      <c r="B101">
        <f>IF(A101&gt;ROWS(avaliacoes_qualidade[escola]),"",INDEX(avaliacoes_qualidade[escola],A101))</f>
        <v/>
      </c>
      <c r="C101">
        <f>IF(B101="","",INDEX(avaliacoes_qualidade[Nota média],A101))</f>
        <v/>
      </c>
      <c r="D101">
        <f>IF(B101="","",INDEX(avaliacoes_qualidade[Avaliações],A101))</f>
        <v/>
      </c>
      <c r="E101">
        <f>IF(B101="","",IFERROR(INDEX(escolas[Column1.tipo],MATCH(B101,escolas[Column1.nome],0)),"—"))</f>
        <v/>
      </c>
      <c r="F101">
        <f>IF(B101="","",SUMPRODUCT(MAX((RIGHT(B101,LEN(enderecos_escolas[cidade])+1)=" "&amp;enderecos_escolas[cidade])*LEN(enderecos_escolas[cidade]))))</f>
        <v/>
      </c>
      <c r="G101">
        <f>IF(B101="","",IFERROR(INDEX(enderecos_escolas[estado],MATCH(1,INDEX((RIGHT(B101,LEN(enderecos_escolas[cidade])+1)=" "&amp;enderecos_escolas[cidade])*(LEN(enderecos_escolas[cidade])=F101),0),0)),"—"))</f>
        <v/>
      </c>
      <c r="H101">
        <f>IF(B101="","",IFERROR(VLOOKUP(G101,'Parâmetros'!$A$5:$B$31,2,FALSE),"Não localizada"))</f>
        <v/>
      </c>
      <c r="I101">
        <f>IF(B101="","",IFERROR(INDEX(enderecos_escolas[tipoLocalizacao],MATCH(1,INDEX((RIGHT(B101,LEN(enderecos_escolas[cidade])+1)=" "&amp;enderecos_escolas[cidade])*(LEN(enderecos_escolas[cidade])=F101),0),0)),"—"))</f>
        <v/>
      </c>
      <c r="K101">
        <f>IF(C101="","",IF(AND(OR('Ranking Escolas'!$F$4="Todas",H101='Ranking Escolas'!$F$4),OR('Ranking Escolas'!$I$4="Todos",E101='Ranking Escolas'!$I$4)),C101+(1000-A101)/10000000,""))</f>
        <v/>
      </c>
      <c r="M101" t="n">
        <v>100</v>
      </c>
      <c r="N101">
        <f>IF(M101&gt;ROWS(avaliacoes_cursos[curso]),"",INDEX(avaliacoes_cursos[curso],M101))</f>
        <v/>
      </c>
      <c r="O101">
        <f>IF(N101="","",INDEX(avaliacoes_cursos[escola],M101))</f>
        <v/>
      </c>
      <c r="P101">
        <f>IF(N101="","",INDEX(avaliacoes_cursos[Nota média],M101))</f>
        <v/>
      </c>
      <c r="Q101">
        <f>IF(N101="","",IF(COUNTIF(avaliacoes_cursos[curso],N101)&gt;1,N101&amp;" — "&amp;O101,N101))</f>
        <v/>
      </c>
      <c r="R101">
        <f>IF(P101="","",P101+(1000-M101)/10000000)</f>
        <v/>
      </c>
    </row>
    <row r="102">
      <c r="A102" t="n">
        <v>101</v>
      </c>
      <c r="B102">
        <f>IF(A102&gt;ROWS(avaliacoes_qualidade[escola]),"",INDEX(avaliacoes_qualidade[escola],A102))</f>
        <v/>
      </c>
      <c r="C102">
        <f>IF(B102="","",INDEX(avaliacoes_qualidade[Nota média],A102))</f>
        <v/>
      </c>
      <c r="D102">
        <f>IF(B102="","",INDEX(avaliacoes_qualidade[Avaliações],A102))</f>
        <v/>
      </c>
      <c r="E102">
        <f>IF(B102="","",IFERROR(INDEX(escolas[Column1.tipo],MATCH(B102,escolas[Column1.nome],0)),"—"))</f>
        <v/>
      </c>
      <c r="F102">
        <f>IF(B102="","",SUMPRODUCT(MAX((RIGHT(B102,LEN(enderecos_escolas[cidade])+1)=" "&amp;enderecos_escolas[cidade])*LEN(enderecos_escolas[cidade]))))</f>
        <v/>
      </c>
      <c r="G102">
        <f>IF(B102="","",IFERROR(INDEX(enderecos_escolas[estado],MATCH(1,INDEX((RIGHT(B102,LEN(enderecos_escolas[cidade])+1)=" "&amp;enderecos_escolas[cidade])*(LEN(enderecos_escolas[cidade])=F102),0),0)),"—"))</f>
        <v/>
      </c>
      <c r="H102">
        <f>IF(B102="","",IFERROR(VLOOKUP(G102,'Parâmetros'!$A$5:$B$31,2,FALSE),"Não localizada"))</f>
        <v/>
      </c>
      <c r="I102">
        <f>IF(B102="","",IFERROR(INDEX(enderecos_escolas[tipoLocalizacao],MATCH(1,INDEX((RIGHT(B102,LEN(enderecos_escolas[cidade])+1)=" "&amp;enderecos_escolas[cidade])*(LEN(enderecos_escolas[cidade])=F102),0),0)),"—"))</f>
        <v/>
      </c>
      <c r="K102">
        <f>IF(C102="","",IF(AND(OR('Ranking Escolas'!$F$4="Todas",H102='Ranking Escolas'!$F$4),OR('Ranking Escolas'!$I$4="Todos",E102='Ranking Escolas'!$I$4)),C102+(1000-A102)/10000000,""))</f>
        <v/>
      </c>
      <c r="M102" t="n">
        <v>101</v>
      </c>
      <c r="N102">
        <f>IF(M102&gt;ROWS(avaliacoes_cursos[curso]),"",INDEX(avaliacoes_cursos[curso],M102))</f>
        <v/>
      </c>
      <c r="O102">
        <f>IF(N102="","",INDEX(avaliacoes_cursos[escola],M102))</f>
        <v/>
      </c>
      <c r="P102">
        <f>IF(N102="","",INDEX(avaliacoes_cursos[Nota média],M102))</f>
        <v/>
      </c>
      <c r="Q102">
        <f>IF(N102="","",IF(COUNTIF(avaliacoes_cursos[curso],N102)&gt;1,N102&amp;" — "&amp;O102,N102))</f>
        <v/>
      </c>
      <c r="R102">
        <f>IF(P102="","",P102+(1000-M102)/10000000)</f>
        <v/>
      </c>
    </row>
    <row r="103">
      <c r="A103" t="n">
        <v>102</v>
      </c>
      <c r="B103">
        <f>IF(A103&gt;ROWS(avaliacoes_qualidade[escola]),"",INDEX(avaliacoes_qualidade[escola],A103))</f>
        <v/>
      </c>
      <c r="C103">
        <f>IF(B103="","",INDEX(avaliacoes_qualidade[Nota média],A103))</f>
        <v/>
      </c>
      <c r="D103">
        <f>IF(B103="","",INDEX(avaliacoes_qualidade[Avaliações],A103))</f>
        <v/>
      </c>
      <c r="E103">
        <f>IF(B103="","",IFERROR(INDEX(escolas[Column1.tipo],MATCH(B103,escolas[Column1.nome],0)),"—"))</f>
        <v/>
      </c>
      <c r="F103">
        <f>IF(B103="","",SUMPRODUCT(MAX((RIGHT(B103,LEN(enderecos_escolas[cidade])+1)=" "&amp;enderecos_escolas[cidade])*LEN(enderecos_escolas[cidade]))))</f>
        <v/>
      </c>
      <c r="G103">
        <f>IF(B103="","",IFERROR(INDEX(enderecos_escolas[estado],MATCH(1,INDEX((RIGHT(B103,LEN(enderecos_escolas[cidade])+1)=" "&amp;enderecos_escolas[cidade])*(LEN(enderecos_escolas[cidade])=F103),0),0)),"—"))</f>
        <v/>
      </c>
      <c r="H103">
        <f>IF(B103="","",IFERROR(VLOOKUP(G103,'Parâmetros'!$A$5:$B$31,2,FALSE),"Não localizada"))</f>
        <v/>
      </c>
      <c r="I103">
        <f>IF(B103="","",IFERROR(INDEX(enderecos_escolas[tipoLocalizacao],MATCH(1,INDEX((RIGHT(B103,LEN(enderecos_escolas[cidade])+1)=" "&amp;enderecos_escolas[cidade])*(LEN(enderecos_escolas[cidade])=F103),0),0)),"—"))</f>
        <v/>
      </c>
      <c r="K103">
        <f>IF(C103="","",IF(AND(OR('Ranking Escolas'!$F$4="Todas",H103='Ranking Escolas'!$F$4),OR('Ranking Escolas'!$I$4="Todos",E103='Ranking Escolas'!$I$4)),C103+(1000-A103)/10000000,""))</f>
        <v/>
      </c>
      <c r="M103" t="n">
        <v>102</v>
      </c>
      <c r="N103">
        <f>IF(M103&gt;ROWS(avaliacoes_cursos[curso]),"",INDEX(avaliacoes_cursos[curso],M103))</f>
        <v/>
      </c>
      <c r="O103">
        <f>IF(N103="","",INDEX(avaliacoes_cursos[escola],M103))</f>
        <v/>
      </c>
      <c r="P103">
        <f>IF(N103="","",INDEX(avaliacoes_cursos[Nota média],M103))</f>
        <v/>
      </c>
      <c r="Q103">
        <f>IF(N103="","",IF(COUNTIF(avaliacoes_cursos[curso],N103)&gt;1,N103&amp;" — "&amp;O103,N103))</f>
        <v/>
      </c>
      <c r="R103">
        <f>IF(P103="","",P103+(1000-M103)/10000000)</f>
        <v/>
      </c>
    </row>
    <row r="104">
      <c r="A104" t="n">
        <v>103</v>
      </c>
      <c r="B104">
        <f>IF(A104&gt;ROWS(avaliacoes_qualidade[escola]),"",INDEX(avaliacoes_qualidade[escola],A104))</f>
        <v/>
      </c>
      <c r="C104">
        <f>IF(B104="","",INDEX(avaliacoes_qualidade[Nota média],A104))</f>
        <v/>
      </c>
      <c r="D104">
        <f>IF(B104="","",INDEX(avaliacoes_qualidade[Avaliações],A104))</f>
        <v/>
      </c>
      <c r="E104">
        <f>IF(B104="","",IFERROR(INDEX(escolas[Column1.tipo],MATCH(B104,escolas[Column1.nome],0)),"—"))</f>
        <v/>
      </c>
      <c r="F104">
        <f>IF(B104="","",SUMPRODUCT(MAX((RIGHT(B104,LEN(enderecos_escolas[cidade])+1)=" "&amp;enderecos_escolas[cidade])*LEN(enderecos_escolas[cidade]))))</f>
        <v/>
      </c>
      <c r="G104">
        <f>IF(B104="","",IFERROR(INDEX(enderecos_escolas[estado],MATCH(1,INDEX((RIGHT(B104,LEN(enderecos_escolas[cidade])+1)=" "&amp;enderecos_escolas[cidade])*(LEN(enderecos_escolas[cidade])=F104),0),0)),"—"))</f>
        <v/>
      </c>
      <c r="H104">
        <f>IF(B104="","",IFERROR(VLOOKUP(G104,'Parâmetros'!$A$5:$B$31,2,FALSE),"Não localizada"))</f>
        <v/>
      </c>
      <c r="I104">
        <f>IF(B104="","",IFERROR(INDEX(enderecos_escolas[tipoLocalizacao],MATCH(1,INDEX((RIGHT(B104,LEN(enderecos_escolas[cidade])+1)=" "&amp;enderecos_escolas[cidade])*(LEN(enderecos_escolas[cidade])=F104),0),0)),"—"))</f>
        <v/>
      </c>
      <c r="K104">
        <f>IF(C104="","",IF(AND(OR('Ranking Escolas'!$F$4="Todas",H104='Ranking Escolas'!$F$4),OR('Ranking Escolas'!$I$4="Todos",E104='Ranking Escolas'!$I$4)),C104+(1000-A104)/10000000,""))</f>
        <v/>
      </c>
      <c r="M104" t="n">
        <v>103</v>
      </c>
      <c r="N104">
        <f>IF(M104&gt;ROWS(avaliacoes_cursos[curso]),"",INDEX(avaliacoes_cursos[curso],M104))</f>
        <v/>
      </c>
      <c r="O104">
        <f>IF(N104="","",INDEX(avaliacoes_cursos[escola],M104))</f>
        <v/>
      </c>
      <c r="P104">
        <f>IF(N104="","",INDEX(avaliacoes_cursos[Nota média],M104))</f>
        <v/>
      </c>
      <c r="Q104">
        <f>IF(N104="","",IF(COUNTIF(avaliacoes_cursos[curso],N104)&gt;1,N104&amp;" — "&amp;O104,N104))</f>
        <v/>
      </c>
      <c r="R104">
        <f>IF(P104="","",P104+(1000-M104)/10000000)</f>
        <v/>
      </c>
    </row>
    <row r="105">
      <c r="A105" t="n">
        <v>104</v>
      </c>
      <c r="B105">
        <f>IF(A105&gt;ROWS(avaliacoes_qualidade[escola]),"",INDEX(avaliacoes_qualidade[escola],A105))</f>
        <v/>
      </c>
      <c r="C105">
        <f>IF(B105="","",INDEX(avaliacoes_qualidade[Nota média],A105))</f>
        <v/>
      </c>
      <c r="D105">
        <f>IF(B105="","",INDEX(avaliacoes_qualidade[Avaliações],A105))</f>
        <v/>
      </c>
      <c r="E105">
        <f>IF(B105="","",IFERROR(INDEX(escolas[Column1.tipo],MATCH(B105,escolas[Column1.nome],0)),"—"))</f>
        <v/>
      </c>
      <c r="F105">
        <f>IF(B105="","",SUMPRODUCT(MAX((RIGHT(B105,LEN(enderecos_escolas[cidade])+1)=" "&amp;enderecos_escolas[cidade])*LEN(enderecos_escolas[cidade]))))</f>
        <v/>
      </c>
      <c r="G105">
        <f>IF(B105="","",IFERROR(INDEX(enderecos_escolas[estado],MATCH(1,INDEX((RIGHT(B105,LEN(enderecos_escolas[cidade])+1)=" "&amp;enderecos_escolas[cidade])*(LEN(enderecos_escolas[cidade])=F105),0),0)),"—"))</f>
        <v/>
      </c>
      <c r="H105">
        <f>IF(B105="","",IFERROR(VLOOKUP(G105,'Parâmetros'!$A$5:$B$31,2,FALSE),"Não localizada"))</f>
        <v/>
      </c>
      <c r="I105">
        <f>IF(B105="","",IFERROR(INDEX(enderecos_escolas[tipoLocalizacao],MATCH(1,INDEX((RIGHT(B105,LEN(enderecos_escolas[cidade])+1)=" "&amp;enderecos_escolas[cidade])*(LEN(enderecos_escolas[cidade])=F105),0),0)),"—"))</f>
        <v/>
      </c>
      <c r="K105">
        <f>IF(C105="","",IF(AND(OR('Ranking Escolas'!$F$4="Todas",H105='Ranking Escolas'!$F$4),OR('Ranking Escolas'!$I$4="Todos",E105='Ranking Escolas'!$I$4)),C105+(1000-A105)/10000000,""))</f>
        <v/>
      </c>
      <c r="M105" t="n">
        <v>104</v>
      </c>
      <c r="N105">
        <f>IF(M105&gt;ROWS(avaliacoes_cursos[curso]),"",INDEX(avaliacoes_cursos[curso],M105))</f>
        <v/>
      </c>
      <c r="O105">
        <f>IF(N105="","",INDEX(avaliacoes_cursos[escola],M105))</f>
        <v/>
      </c>
      <c r="P105">
        <f>IF(N105="","",INDEX(avaliacoes_cursos[Nota média],M105))</f>
        <v/>
      </c>
      <c r="Q105">
        <f>IF(N105="","",IF(COUNTIF(avaliacoes_cursos[curso],N105)&gt;1,N105&amp;" — "&amp;O105,N105))</f>
        <v/>
      </c>
      <c r="R105">
        <f>IF(P105="","",P105+(1000-M105)/10000000)</f>
        <v/>
      </c>
    </row>
    <row r="106">
      <c r="A106" t="n">
        <v>105</v>
      </c>
      <c r="B106">
        <f>IF(A106&gt;ROWS(avaliacoes_qualidade[escola]),"",INDEX(avaliacoes_qualidade[escola],A106))</f>
        <v/>
      </c>
      <c r="C106">
        <f>IF(B106="","",INDEX(avaliacoes_qualidade[Nota média],A106))</f>
        <v/>
      </c>
      <c r="D106">
        <f>IF(B106="","",INDEX(avaliacoes_qualidade[Avaliações],A106))</f>
        <v/>
      </c>
      <c r="E106">
        <f>IF(B106="","",IFERROR(INDEX(escolas[Column1.tipo],MATCH(B106,escolas[Column1.nome],0)),"—"))</f>
        <v/>
      </c>
      <c r="F106">
        <f>IF(B106="","",SUMPRODUCT(MAX((RIGHT(B106,LEN(enderecos_escolas[cidade])+1)=" "&amp;enderecos_escolas[cidade])*LEN(enderecos_escolas[cidade]))))</f>
        <v/>
      </c>
      <c r="G106">
        <f>IF(B106="","",IFERROR(INDEX(enderecos_escolas[estado],MATCH(1,INDEX((RIGHT(B106,LEN(enderecos_escolas[cidade])+1)=" "&amp;enderecos_escolas[cidade])*(LEN(enderecos_escolas[cidade])=F106),0),0)),"—"))</f>
        <v/>
      </c>
      <c r="H106">
        <f>IF(B106="","",IFERROR(VLOOKUP(G106,'Parâmetros'!$A$5:$B$31,2,FALSE),"Não localizada"))</f>
        <v/>
      </c>
      <c r="I106">
        <f>IF(B106="","",IFERROR(INDEX(enderecos_escolas[tipoLocalizacao],MATCH(1,INDEX((RIGHT(B106,LEN(enderecos_escolas[cidade])+1)=" "&amp;enderecos_escolas[cidade])*(LEN(enderecos_escolas[cidade])=F106),0),0)),"—"))</f>
        <v/>
      </c>
      <c r="K106">
        <f>IF(C106="","",IF(AND(OR('Ranking Escolas'!$F$4="Todas",H106='Ranking Escolas'!$F$4),OR('Ranking Escolas'!$I$4="Todos",E106='Ranking Escolas'!$I$4)),C106+(1000-A106)/10000000,""))</f>
        <v/>
      </c>
      <c r="M106" t="n">
        <v>105</v>
      </c>
      <c r="N106">
        <f>IF(M106&gt;ROWS(avaliacoes_cursos[curso]),"",INDEX(avaliacoes_cursos[curso],M106))</f>
        <v/>
      </c>
      <c r="O106">
        <f>IF(N106="","",INDEX(avaliacoes_cursos[escola],M106))</f>
        <v/>
      </c>
      <c r="P106">
        <f>IF(N106="","",INDEX(avaliacoes_cursos[Nota média],M106))</f>
        <v/>
      </c>
      <c r="Q106">
        <f>IF(N106="","",IF(COUNTIF(avaliacoes_cursos[curso],N106)&gt;1,N106&amp;" — "&amp;O106,N106))</f>
        <v/>
      </c>
      <c r="R106">
        <f>IF(P106="","",P106+(1000-M106)/10000000)</f>
        <v/>
      </c>
    </row>
    <row r="107">
      <c r="A107" t="n">
        <v>106</v>
      </c>
      <c r="B107">
        <f>IF(A107&gt;ROWS(avaliacoes_qualidade[escola]),"",INDEX(avaliacoes_qualidade[escola],A107))</f>
        <v/>
      </c>
      <c r="C107">
        <f>IF(B107="","",INDEX(avaliacoes_qualidade[Nota média],A107))</f>
        <v/>
      </c>
      <c r="D107">
        <f>IF(B107="","",INDEX(avaliacoes_qualidade[Avaliações],A107))</f>
        <v/>
      </c>
      <c r="E107">
        <f>IF(B107="","",IFERROR(INDEX(escolas[Column1.tipo],MATCH(B107,escolas[Column1.nome],0)),"—"))</f>
        <v/>
      </c>
      <c r="F107">
        <f>IF(B107="","",SUMPRODUCT(MAX((RIGHT(B107,LEN(enderecos_escolas[cidade])+1)=" "&amp;enderecos_escolas[cidade])*LEN(enderecos_escolas[cidade]))))</f>
        <v/>
      </c>
      <c r="G107">
        <f>IF(B107="","",IFERROR(INDEX(enderecos_escolas[estado],MATCH(1,INDEX((RIGHT(B107,LEN(enderecos_escolas[cidade])+1)=" "&amp;enderecos_escolas[cidade])*(LEN(enderecos_escolas[cidade])=F107),0),0)),"—"))</f>
        <v/>
      </c>
      <c r="H107">
        <f>IF(B107="","",IFERROR(VLOOKUP(G107,'Parâmetros'!$A$5:$B$31,2,FALSE),"Não localizada"))</f>
        <v/>
      </c>
      <c r="I107">
        <f>IF(B107="","",IFERROR(INDEX(enderecos_escolas[tipoLocalizacao],MATCH(1,INDEX((RIGHT(B107,LEN(enderecos_escolas[cidade])+1)=" "&amp;enderecos_escolas[cidade])*(LEN(enderecos_escolas[cidade])=F107),0),0)),"—"))</f>
        <v/>
      </c>
      <c r="K107">
        <f>IF(C107="","",IF(AND(OR('Ranking Escolas'!$F$4="Todas",H107='Ranking Escolas'!$F$4),OR('Ranking Escolas'!$I$4="Todos",E107='Ranking Escolas'!$I$4)),C107+(1000-A107)/10000000,""))</f>
        <v/>
      </c>
      <c r="M107" t="n">
        <v>106</v>
      </c>
      <c r="N107">
        <f>IF(M107&gt;ROWS(avaliacoes_cursos[curso]),"",INDEX(avaliacoes_cursos[curso],M107))</f>
        <v/>
      </c>
      <c r="O107">
        <f>IF(N107="","",INDEX(avaliacoes_cursos[escola],M107))</f>
        <v/>
      </c>
      <c r="P107">
        <f>IF(N107="","",INDEX(avaliacoes_cursos[Nota média],M107))</f>
        <v/>
      </c>
      <c r="Q107">
        <f>IF(N107="","",IF(COUNTIF(avaliacoes_cursos[curso],N107)&gt;1,N107&amp;" — "&amp;O107,N107))</f>
        <v/>
      </c>
      <c r="R107">
        <f>IF(P107="","",P107+(1000-M107)/10000000)</f>
        <v/>
      </c>
    </row>
    <row r="108">
      <c r="A108" t="n">
        <v>107</v>
      </c>
      <c r="B108">
        <f>IF(A108&gt;ROWS(avaliacoes_qualidade[escola]),"",INDEX(avaliacoes_qualidade[escola],A108))</f>
        <v/>
      </c>
      <c r="C108">
        <f>IF(B108="","",INDEX(avaliacoes_qualidade[Nota média],A108))</f>
        <v/>
      </c>
      <c r="D108">
        <f>IF(B108="","",INDEX(avaliacoes_qualidade[Avaliações],A108))</f>
        <v/>
      </c>
      <c r="E108">
        <f>IF(B108="","",IFERROR(INDEX(escolas[Column1.tipo],MATCH(B108,escolas[Column1.nome],0)),"—"))</f>
        <v/>
      </c>
      <c r="F108">
        <f>IF(B108="","",SUMPRODUCT(MAX((RIGHT(B108,LEN(enderecos_escolas[cidade])+1)=" "&amp;enderecos_escolas[cidade])*LEN(enderecos_escolas[cidade]))))</f>
        <v/>
      </c>
      <c r="G108">
        <f>IF(B108="","",IFERROR(INDEX(enderecos_escolas[estado],MATCH(1,INDEX((RIGHT(B108,LEN(enderecos_escolas[cidade])+1)=" "&amp;enderecos_escolas[cidade])*(LEN(enderecos_escolas[cidade])=F108),0),0)),"—"))</f>
        <v/>
      </c>
      <c r="H108">
        <f>IF(B108="","",IFERROR(VLOOKUP(G108,'Parâmetros'!$A$5:$B$31,2,FALSE),"Não localizada"))</f>
        <v/>
      </c>
      <c r="I108">
        <f>IF(B108="","",IFERROR(INDEX(enderecos_escolas[tipoLocalizacao],MATCH(1,INDEX((RIGHT(B108,LEN(enderecos_escolas[cidade])+1)=" "&amp;enderecos_escolas[cidade])*(LEN(enderecos_escolas[cidade])=F108),0),0)),"—"))</f>
        <v/>
      </c>
      <c r="K108">
        <f>IF(C108="","",IF(AND(OR('Ranking Escolas'!$F$4="Todas",H108='Ranking Escolas'!$F$4),OR('Ranking Escolas'!$I$4="Todos",E108='Ranking Escolas'!$I$4)),C108+(1000-A108)/10000000,""))</f>
        <v/>
      </c>
      <c r="M108" t="n">
        <v>107</v>
      </c>
      <c r="N108">
        <f>IF(M108&gt;ROWS(avaliacoes_cursos[curso]),"",INDEX(avaliacoes_cursos[curso],M108))</f>
        <v/>
      </c>
      <c r="O108">
        <f>IF(N108="","",INDEX(avaliacoes_cursos[escola],M108))</f>
        <v/>
      </c>
      <c r="P108">
        <f>IF(N108="","",INDEX(avaliacoes_cursos[Nota média],M108))</f>
        <v/>
      </c>
      <c r="Q108">
        <f>IF(N108="","",IF(COUNTIF(avaliacoes_cursos[curso],N108)&gt;1,N108&amp;" — "&amp;O108,N108))</f>
        <v/>
      </c>
      <c r="R108">
        <f>IF(P108="","",P108+(1000-M108)/10000000)</f>
        <v/>
      </c>
    </row>
    <row r="109">
      <c r="A109" t="n">
        <v>108</v>
      </c>
      <c r="B109">
        <f>IF(A109&gt;ROWS(avaliacoes_qualidade[escola]),"",INDEX(avaliacoes_qualidade[escola],A109))</f>
        <v/>
      </c>
      <c r="C109">
        <f>IF(B109="","",INDEX(avaliacoes_qualidade[Nota média],A109))</f>
        <v/>
      </c>
      <c r="D109">
        <f>IF(B109="","",INDEX(avaliacoes_qualidade[Avaliações],A109))</f>
        <v/>
      </c>
      <c r="E109">
        <f>IF(B109="","",IFERROR(INDEX(escolas[Column1.tipo],MATCH(B109,escolas[Column1.nome],0)),"—"))</f>
        <v/>
      </c>
      <c r="F109">
        <f>IF(B109="","",SUMPRODUCT(MAX((RIGHT(B109,LEN(enderecos_escolas[cidade])+1)=" "&amp;enderecos_escolas[cidade])*LEN(enderecos_escolas[cidade]))))</f>
        <v/>
      </c>
      <c r="G109">
        <f>IF(B109="","",IFERROR(INDEX(enderecos_escolas[estado],MATCH(1,INDEX((RIGHT(B109,LEN(enderecos_escolas[cidade])+1)=" "&amp;enderecos_escolas[cidade])*(LEN(enderecos_escolas[cidade])=F109),0),0)),"—"))</f>
        <v/>
      </c>
      <c r="H109">
        <f>IF(B109="","",IFERROR(VLOOKUP(G109,'Parâmetros'!$A$5:$B$31,2,FALSE),"Não localizada"))</f>
        <v/>
      </c>
      <c r="I109">
        <f>IF(B109="","",IFERROR(INDEX(enderecos_escolas[tipoLocalizacao],MATCH(1,INDEX((RIGHT(B109,LEN(enderecos_escolas[cidade])+1)=" "&amp;enderecos_escolas[cidade])*(LEN(enderecos_escolas[cidade])=F109),0),0)),"—"))</f>
        <v/>
      </c>
      <c r="K109">
        <f>IF(C109="","",IF(AND(OR('Ranking Escolas'!$F$4="Todas",H109='Ranking Escolas'!$F$4),OR('Ranking Escolas'!$I$4="Todos",E109='Ranking Escolas'!$I$4)),C109+(1000-A109)/10000000,""))</f>
        <v/>
      </c>
      <c r="M109" t="n">
        <v>108</v>
      </c>
      <c r="N109">
        <f>IF(M109&gt;ROWS(avaliacoes_cursos[curso]),"",INDEX(avaliacoes_cursos[curso],M109))</f>
        <v/>
      </c>
      <c r="O109">
        <f>IF(N109="","",INDEX(avaliacoes_cursos[escola],M109))</f>
        <v/>
      </c>
      <c r="P109">
        <f>IF(N109="","",INDEX(avaliacoes_cursos[Nota média],M109))</f>
        <v/>
      </c>
      <c r="Q109">
        <f>IF(N109="","",IF(COUNTIF(avaliacoes_cursos[curso],N109)&gt;1,N109&amp;" — "&amp;O109,N109))</f>
        <v/>
      </c>
      <c r="R109">
        <f>IF(P109="","",P109+(1000-M109)/10000000)</f>
        <v/>
      </c>
    </row>
    <row r="110">
      <c r="A110" t="n">
        <v>109</v>
      </c>
      <c r="B110">
        <f>IF(A110&gt;ROWS(avaliacoes_qualidade[escola]),"",INDEX(avaliacoes_qualidade[escola],A110))</f>
        <v/>
      </c>
      <c r="C110">
        <f>IF(B110="","",INDEX(avaliacoes_qualidade[Nota média],A110))</f>
        <v/>
      </c>
      <c r="D110">
        <f>IF(B110="","",INDEX(avaliacoes_qualidade[Avaliações],A110))</f>
        <v/>
      </c>
      <c r="E110">
        <f>IF(B110="","",IFERROR(INDEX(escolas[Column1.tipo],MATCH(B110,escolas[Column1.nome],0)),"—"))</f>
        <v/>
      </c>
      <c r="F110">
        <f>IF(B110="","",SUMPRODUCT(MAX((RIGHT(B110,LEN(enderecos_escolas[cidade])+1)=" "&amp;enderecos_escolas[cidade])*LEN(enderecos_escolas[cidade]))))</f>
        <v/>
      </c>
      <c r="G110">
        <f>IF(B110="","",IFERROR(INDEX(enderecos_escolas[estado],MATCH(1,INDEX((RIGHT(B110,LEN(enderecos_escolas[cidade])+1)=" "&amp;enderecos_escolas[cidade])*(LEN(enderecos_escolas[cidade])=F110),0),0)),"—"))</f>
        <v/>
      </c>
      <c r="H110">
        <f>IF(B110="","",IFERROR(VLOOKUP(G110,'Parâmetros'!$A$5:$B$31,2,FALSE),"Não localizada"))</f>
        <v/>
      </c>
      <c r="I110">
        <f>IF(B110="","",IFERROR(INDEX(enderecos_escolas[tipoLocalizacao],MATCH(1,INDEX((RIGHT(B110,LEN(enderecos_escolas[cidade])+1)=" "&amp;enderecos_escolas[cidade])*(LEN(enderecos_escolas[cidade])=F110),0),0)),"—"))</f>
        <v/>
      </c>
      <c r="K110">
        <f>IF(C110="","",IF(AND(OR('Ranking Escolas'!$F$4="Todas",H110='Ranking Escolas'!$F$4),OR('Ranking Escolas'!$I$4="Todos",E110='Ranking Escolas'!$I$4)),C110+(1000-A110)/10000000,""))</f>
        <v/>
      </c>
      <c r="M110" t="n">
        <v>109</v>
      </c>
      <c r="N110">
        <f>IF(M110&gt;ROWS(avaliacoes_cursos[curso]),"",INDEX(avaliacoes_cursos[curso],M110))</f>
        <v/>
      </c>
      <c r="O110">
        <f>IF(N110="","",INDEX(avaliacoes_cursos[escola],M110))</f>
        <v/>
      </c>
      <c r="P110">
        <f>IF(N110="","",INDEX(avaliacoes_cursos[Nota média],M110))</f>
        <v/>
      </c>
      <c r="Q110">
        <f>IF(N110="","",IF(COUNTIF(avaliacoes_cursos[curso],N110)&gt;1,N110&amp;" — "&amp;O110,N110))</f>
        <v/>
      </c>
      <c r="R110">
        <f>IF(P110="","",P110+(1000-M110)/10000000)</f>
        <v/>
      </c>
    </row>
    <row r="111">
      <c r="A111" t="n">
        <v>110</v>
      </c>
      <c r="B111">
        <f>IF(A111&gt;ROWS(avaliacoes_qualidade[escola]),"",INDEX(avaliacoes_qualidade[escola],A111))</f>
        <v/>
      </c>
      <c r="C111">
        <f>IF(B111="","",INDEX(avaliacoes_qualidade[Nota média],A111))</f>
        <v/>
      </c>
      <c r="D111">
        <f>IF(B111="","",INDEX(avaliacoes_qualidade[Avaliações],A111))</f>
        <v/>
      </c>
      <c r="E111">
        <f>IF(B111="","",IFERROR(INDEX(escolas[Column1.tipo],MATCH(B111,escolas[Column1.nome],0)),"—"))</f>
        <v/>
      </c>
      <c r="F111">
        <f>IF(B111="","",SUMPRODUCT(MAX((RIGHT(B111,LEN(enderecos_escolas[cidade])+1)=" "&amp;enderecos_escolas[cidade])*LEN(enderecos_escolas[cidade]))))</f>
        <v/>
      </c>
      <c r="G111">
        <f>IF(B111="","",IFERROR(INDEX(enderecos_escolas[estado],MATCH(1,INDEX((RIGHT(B111,LEN(enderecos_escolas[cidade])+1)=" "&amp;enderecos_escolas[cidade])*(LEN(enderecos_escolas[cidade])=F111),0),0)),"—"))</f>
        <v/>
      </c>
      <c r="H111">
        <f>IF(B111="","",IFERROR(VLOOKUP(G111,'Parâmetros'!$A$5:$B$31,2,FALSE),"Não localizada"))</f>
        <v/>
      </c>
      <c r="I111">
        <f>IF(B111="","",IFERROR(INDEX(enderecos_escolas[tipoLocalizacao],MATCH(1,INDEX((RIGHT(B111,LEN(enderecos_escolas[cidade])+1)=" "&amp;enderecos_escolas[cidade])*(LEN(enderecos_escolas[cidade])=F111),0),0)),"—"))</f>
        <v/>
      </c>
      <c r="K111">
        <f>IF(C111="","",IF(AND(OR('Ranking Escolas'!$F$4="Todas",H111='Ranking Escolas'!$F$4),OR('Ranking Escolas'!$I$4="Todos",E111='Ranking Escolas'!$I$4)),C111+(1000-A111)/10000000,""))</f>
        <v/>
      </c>
      <c r="M111" t="n">
        <v>110</v>
      </c>
      <c r="N111">
        <f>IF(M111&gt;ROWS(avaliacoes_cursos[curso]),"",INDEX(avaliacoes_cursos[curso],M111))</f>
        <v/>
      </c>
      <c r="O111">
        <f>IF(N111="","",INDEX(avaliacoes_cursos[escola],M111))</f>
        <v/>
      </c>
      <c r="P111">
        <f>IF(N111="","",INDEX(avaliacoes_cursos[Nota média],M111))</f>
        <v/>
      </c>
      <c r="Q111">
        <f>IF(N111="","",IF(COUNTIF(avaliacoes_cursos[curso],N111)&gt;1,N111&amp;" — "&amp;O111,N111))</f>
        <v/>
      </c>
      <c r="R111">
        <f>IF(P111="","",P111+(1000-M111)/10000000)</f>
        <v/>
      </c>
    </row>
    <row r="112">
      <c r="A112" t="n">
        <v>111</v>
      </c>
      <c r="B112">
        <f>IF(A112&gt;ROWS(avaliacoes_qualidade[escola]),"",INDEX(avaliacoes_qualidade[escola],A112))</f>
        <v/>
      </c>
      <c r="C112">
        <f>IF(B112="","",INDEX(avaliacoes_qualidade[Nota média],A112))</f>
        <v/>
      </c>
      <c r="D112">
        <f>IF(B112="","",INDEX(avaliacoes_qualidade[Avaliações],A112))</f>
        <v/>
      </c>
      <c r="E112">
        <f>IF(B112="","",IFERROR(INDEX(escolas[Column1.tipo],MATCH(B112,escolas[Column1.nome],0)),"—"))</f>
        <v/>
      </c>
      <c r="F112">
        <f>IF(B112="","",SUMPRODUCT(MAX((RIGHT(B112,LEN(enderecos_escolas[cidade])+1)=" "&amp;enderecos_escolas[cidade])*LEN(enderecos_escolas[cidade]))))</f>
        <v/>
      </c>
      <c r="G112">
        <f>IF(B112="","",IFERROR(INDEX(enderecos_escolas[estado],MATCH(1,INDEX((RIGHT(B112,LEN(enderecos_escolas[cidade])+1)=" "&amp;enderecos_escolas[cidade])*(LEN(enderecos_escolas[cidade])=F112),0),0)),"—"))</f>
        <v/>
      </c>
      <c r="H112">
        <f>IF(B112="","",IFERROR(VLOOKUP(G112,'Parâmetros'!$A$5:$B$31,2,FALSE),"Não localizada"))</f>
        <v/>
      </c>
      <c r="I112">
        <f>IF(B112="","",IFERROR(INDEX(enderecos_escolas[tipoLocalizacao],MATCH(1,INDEX((RIGHT(B112,LEN(enderecos_escolas[cidade])+1)=" "&amp;enderecos_escolas[cidade])*(LEN(enderecos_escolas[cidade])=F112),0),0)),"—"))</f>
        <v/>
      </c>
      <c r="K112">
        <f>IF(C112="","",IF(AND(OR('Ranking Escolas'!$F$4="Todas",H112='Ranking Escolas'!$F$4),OR('Ranking Escolas'!$I$4="Todos",E112='Ranking Escolas'!$I$4)),C112+(1000-A112)/10000000,""))</f>
        <v/>
      </c>
      <c r="M112" t="n">
        <v>111</v>
      </c>
      <c r="N112">
        <f>IF(M112&gt;ROWS(avaliacoes_cursos[curso]),"",INDEX(avaliacoes_cursos[curso],M112))</f>
        <v/>
      </c>
      <c r="O112">
        <f>IF(N112="","",INDEX(avaliacoes_cursos[escola],M112))</f>
        <v/>
      </c>
      <c r="P112">
        <f>IF(N112="","",INDEX(avaliacoes_cursos[Nota média],M112))</f>
        <v/>
      </c>
      <c r="Q112">
        <f>IF(N112="","",IF(COUNTIF(avaliacoes_cursos[curso],N112)&gt;1,N112&amp;" — "&amp;O112,N112))</f>
        <v/>
      </c>
      <c r="R112">
        <f>IF(P112="","",P112+(1000-M112)/10000000)</f>
        <v/>
      </c>
    </row>
    <row r="113">
      <c r="A113" t="n">
        <v>112</v>
      </c>
      <c r="B113">
        <f>IF(A113&gt;ROWS(avaliacoes_qualidade[escola]),"",INDEX(avaliacoes_qualidade[escola],A113))</f>
        <v/>
      </c>
      <c r="C113">
        <f>IF(B113="","",INDEX(avaliacoes_qualidade[Nota média],A113))</f>
        <v/>
      </c>
      <c r="D113">
        <f>IF(B113="","",INDEX(avaliacoes_qualidade[Avaliações],A113))</f>
        <v/>
      </c>
      <c r="E113">
        <f>IF(B113="","",IFERROR(INDEX(escolas[Column1.tipo],MATCH(B113,escolas[Column1.nome],0)),"—"))</f>
        <v/>
      </c>
      <c r="F113">
        <f>IF(B113="","",SUMPRODUCT(MAX((RIGHT(B113,LEN(enderecos_escolas[cidade])+1)=" "&amp;enderecos_escolas[cidade])*LEN(enderecos_escolas[cidade]))))</f>
        <v/>
      </c>
      <c r="G113">
        <f>IF(B113="","",IFERROR(INDEX(enderecos_escolas[estado],MATCH(1,INDEX((RIGHT(B113,LEN(enderecos_escolas[cidade])+1)=" "&amp;enderecos_escolas[cidade])*(LEN(enderecos_escolas[cidade])=F113),0),0)),"—"))</f>
        <v/>
      </c>
      <c r="H113">
        <f>IF(B113="","",IFERROR(VLOOKUP(G113,'Parâmetros'!$A$5:$B$31,2,FALSE),"Não localizada"))</f>
        <v/>
      </c>
      <c r="I113">
        <f>IF(B113="","",IFERROR(INDEX(enderecos_escolas[tipoLocalizacao],MATCH(1,INDEX((RIGHT(B113,LEN(enderecos_escolas[cidade])+1)=" "&amp;enderecos_escolas[cidade])*(LEN(enderecos_escolas[cidade])=F113),0),0)),"—"))</f>
        <v/>
      </c>
      <c r="K113">
        <f>IF(C113="","",IF(AND(OR('Ranking Escolas'!$F$4="Todas",H113='Ranking Escolas'!$F$4),OR('Ranking Escolas'!$I$4="Todos",E113='Ranking Escolas'!$I$4)),C113+(1000-A113)/10000000,""))</f>
        <v/>
      </c>
      <c r="M113" t="n">
        <v>112</v>
      </c>
      <c r="N113">
        <f>IF(M113&gt;ROWS(avaliacoes_cursos[curso]),"",INDEX(avaliacoes_cursos[curso],M113))</f>
        <v/>
      </c>
      <c r="O113">
        <f>IF(N113="","",INDEX(avaliacoes_cursos[escola],M113))</f>
        <v/>
      </c>
      <c r="P113">
        <f>IF(N113="","",INDEX(avaliacoes_cursos[Nota média],M113))</f>
        <v/>
      </c>
      <c r="Q113">
        <f>IF(N113="","",IF(COUNTIF(avaliacoes_cursos[curso],N113)&gt;1,N113&amp;" — "&amp;O113,N113))</f>
        <v/>
      </c>
      <c r="R113">
        <f>IF(P113="","",P113+(1000-M113)/10000000)</f>
        <v/>
      </c>
    </row>
    <row r="114">
      <c r="A114" t="n">
        <v>113</v>
      </c>
      <c r="B114">
        <f>IF(A114&gt;ROWS(avaliacoes_qualidade[escola]),"",INDEX(avaliacoes_qualidade[escola],A114))</f>
        <v/>
      </c>
      <c r="C114">
        <f>IF(B114="","",INDEX(avaliacoes_qualidade[Nota média],A114))</f>
        <v/>
      </c>
      <c r="D114">
        <f>IF(B114="","",INDEX(avaliacoes_qualidade[Avaliações],A114))</f>
        <v/>
      </c>
      <c r="E114">
        <f>IF(B114="","",IFERROR(INDEX(escolas[Column1.tipo],MATCH(B114,escolas[Column1.nome],0)),"—"))</f>
        <v/>
      </c>
      <c r="F114">
        <f>IF(B114="","",SUMPRODUCT(MAX((RIGHT(B114,LEN(enderecos_escolas[cidade])+1)=" "&amp;enderecos_escolas[cidade])*LEN(enderecos_escolas[cidade]))))</f>
        <v/>
      </c>
      <c r="G114">
        <f>IF(B114="","",IFERROR(INDEX(enderecos_escolas[estado],MATCH(1,INDEX((RIGHT(B114,LEN(enderecos_escolas[cidade])+1)=" "&amp;enderecos_escolas[cidade])*(LEN(enderecos_escolas[cidade])=F114),0),0)),"—"))</f>
        <v/>
      </c>
      <c r="H114">
        <f>IF(B114="","",IFERROR(VLOOKUP(G114,'Parâmetros'!$A$5:$B$31,2,FALSE),"Não localizada"))</f>
        <v/>
      </c>
      <c r="I114">
        <f>IF(B114="","",IFERROR(INDEX(enderecos_escolas[tipoLocalizacao],MATCH(1,INDEX((RIGHT(B114,LEN(enderecos_escolas[cidade])+1)=" "&amp;enderecos_escolas[cidade])*(LEN(enderecos_escolas[cidade])=F114),0),0)),"—"))</f>
        <v/>
      </c>
      <c r="K114">
        <f>IF(C114="","",IF(AND(OR('Ranking Escolas'!$F$4="Todas",H114='Ranking Escolas'!$F$4),OR('Ranking Escolas'!$I$4="Todos",E114='Ranking Escolas'!$I$4)),C114+(1000-A114)/10000000,""))</f>
        <v/>
      </c>
      <c r="M114" t="n">
        <v>113</v>
      </c>
      <c r="N114">
        <f>IF(M114&gt;ROWS(avaliacoes_cursos[curso]),"",INDEX(avaliacoes_cursos[curso],M114))</f>
        <v/>
      </c>
      <c r="O114">
        <f>IF(N114="","",INDEX(avaliacoes_cursos[escola],M114))</f>
        <v/>
      </c>
      <c r="P114">
        <f>IF(N114="","",INDEX(avaliacoes_cursos[Nota média],M114))</f>
        <v/>
      </c>
      <c r="Q114">
        <f>IF(N114="","",IF(COUNTIF(avaliacoes_cursos[curso],N114)&gt;1,N114&amp;" — "&amp;O114,N114))</f>
        <v/>
      </c>
      <c r="R114">
        <f>IF(P114="","",P114+(1000-M114)/10000000)</f>
        <v/>
      </c>
    </row>
    <row r="115">
      <c r="A115" t="n">
        <v>114</v>
      </c>
      <c r="B115">
        <f>IF(A115&gt;ROWS(avaliacoes_qualidade[escola]),"",INDEX(avaliacoes_qualidade[escola],A115))</f>
        <v/>
      </c>
      <c r="C115">
        <f>IF(B115="","",INDEX(avaliacoes_qualidade[Nota média],A115))</f>
        <v/>
      </c>
      <c r="D115">
        <f>IF(B115="","",INDEX(avaliacoes_qualidade[Avaliações],A115))</f>
        <v/>
      </c>
      <c r="E115">
        <f>IF(B115="","",IFERROR(INDEX(escolas[Column1.tipo],MATCH(B115,escolas[Column1.nome],0)),"—"))</f>
        <v/>
      </c>
      <c r="F115">
        <f>IF(B115="","",SUMPRODUCT(MAX((RIGHT(B115,LEN(enderecos_escolas[cidade])+1)=" "&amp;enderecos_escolas[cidade])*LEN(enderecos_escolas[cidade]))))</f>
        <v/>
      </c>
      <c r="G115">
        <f>IF(B115="","",IFERROR(INDEX(enderecos_escolas[estado],MATCH(1,INDEX((RIGHT(B115,LEN(enderecos_escolas[cidade])+1)=" "&amp;enderecos_escolas[cidade])*(LEN(enderecos_escolas[cidade])=F115),0),0)),"—"))</f>
        <v/>
      </c>
      <c r="H115">
        <f>IF(B115="","",IFERROR(VLOOKUP(G115,'Parâmetros'!$A$5:$B$31,2,FALSE),"Não localizada"))</f>
        <v/>
      </c>
      <c r="I115">
        <f>IF(B115="","",IFERROR(INDEX(enderecos_escolas[tipoLocalizacao],MATCH(1,INDEX((RIGHT(B115,LEN(enderecos_escolas[cidade])+1)=" "&amp;enderecos_escolas[cidade])*(LEN(enderecos_escolas[cidade])=F115),0),0)),"—"))</f>
        <v/>
      </c>
      <c r="K115">
        <f>IF(C115="","",IF(AND(OR('Ranking Escolas'!$F$4="Todas",H115='Ranking Escolas'!$F$4),OR('Ranking Escolas'!$I$4="Todos",E115='Ranking Escolas'!$I$4)),C115+(1000-A115)/10000000,""))</f>
        <v/>
      </c>
      <c r="M115" t="n">
        <v>114</v>
      </c>
      <c r="N115">
        <f>IF(M115&gt;ROWS(avaliacoes_cursos[curso]),"",INDEX(avaliacoes_cursos[curso],M115))</f>
        <v/>
      </c>
      <c r="O115">
        <f>IF(N115="","",INDEX(avaliacoes_cursos[escola],M115))</f>
        <v/>
      </c>
      <c r="P115">
        <f>IF(N115="","",INDEX(avaliacoes_cursos[Nota média],M115))</f>
        <v/>
      </c>
      <c r="Q115">
        <f>IF(N115="","",IF(COUNTIF(avaliacoes_cursos[curso],N115)&gt;1,N115&amp;" — "&amp;O115,N115))</f>
        <v/>
      </c>
      <c r="R115">
        <f>IF(P115="","",P115+(1000-M115)/10000000)</f>
        <v/>
      </c>
    </row>
    <row r="116">
      <c r="A116" t="n">
        <v>115</v>
      </c>
      <c r="B116">
        <f>IF(A116&gt;ROWS(avaliacoes_qualidade[escola]),"",INDEX(avaliacoes_qualidade[escola],A116))</f>
        <v/>
      </c>
      <c r="C116">
        <f>IF(B116="","",INDEX(avaliacoes_qualidade[Nota média],A116))</f>
        <v/>
      </c>
      <c r="D116">
        <f>IF(B116="","",INDEX(avaliacoes_qualidade[Avaliações],A116))</f>
        <v/>
      </c>
      <c r="E116">
        <f>IF(B116="","",IFERROR(INDEX(escolas[Column1.tipo],MATCH(B116,escolas[Column1.nome],0)),"—"))</f>
        <v/>
      </c>
      <c r="F116">
        <f>IF(B116="","",SUMPRODUCT(MAX((RIGHT(B116,LEN(enderecos_escolas[cidade])+1)=" "&amp;enderecos_escolas[cidade])*LEN(enderecos_escolas[cidade]))))</f>
        <v/>
      </c>
      <c r="G116">
        <f>IF(B116="","",IFERROR(INDEX(enderecos_escolas[estado],MATCH(1,INDEX((RIGHT(B116,LEN(enderecos_escolas[cidade])+1)=" "&amp;enderecos_escolas[cidade])*(LEN(enderecos_escolas[cidade])=F116),0),0)),"—"))</f>
        <v/>
      </c>
      <c r="H116">
        <f>IF(B116="","",IFERROR(VLOOKUP(G116,'Parâmetros'!$A$5:$B$31,2,FALSE),"Não localizada"))</f>
        <v/>
      </c>
      <c r="I116">
        <f>IF(B116="","",IFERROR(INDEX(enderecos_escolas[tipoLocalizacao],MATCH(1,INDEX((RIGHT(B116,LEN(enderecos_escolas[cidade])+1)=" "&amp;enderecos_escolas[cidade])*(LEN(enderecos_escolas[cidade])=F116),0),0)),"—"))</f>
        <v/>
      </c>
      <c r="K116">
        <f>IF(C116="","",IF(AND(OR('Ranking Escolas'!$F$4="Todas",H116='Ranking Escolas'!$F$4),OR('Ranking Escolas'!$I$4="Todos",E116='Ranking Escolas'!$I$4)),C116+(1000-A116)/10000000,""))</f>
        <v/>
      </c>
      <c r="M116" t="n">
        <v>115</v>
      </c>
      <c r="N116">
        <f>IF(M116&gt;ROWS(avaliacoes_cursos[curso]),"",INDEX(avaliacoes_cursos[curso],M116))</f>
        <v/>
      </c>
      <c r="O116">
        <f>IF(N116="","",INDEX(avaliacoes_cursos[escola],M116))</f>
        <v/>
      </c>
      <c r="P116">
        <f>IF(N116="","",INDEX(avaliacoes_cursos[Nota média],M116))</f>
        <v/>
      </c>
      <c r="Q116">
        <f>IF(N116="","",IF(COUNTIF(avaliacoes_cursos[curso],N116)&gt;1,N116&amp;" — "&amp;O116,N116))</f>
        <v/>
      </c>
      <c r="R116">
        <f>IF(P116="","",P116+(1000-M116)/10000000)</f>
        <v/>
      </c>
    </row>
    <row r="117">
      <c r="A117" t="n">
        <v>116</v>
      </c>
      <c r="B117">
        <f>IF(A117&gt;ROWS(avaliacoes_qualidade[escola]),"",INDEX(avaliacoes_qualidade[escola],A117))</f>
        <v/>
      </c>
      <c r="C117">
        <f>IF(B117="","",INDEX(avaliacoes_qualidade[Nota média],A117))</f>
        <v/>
      </c>
      <c r="D117">
        <f>IF(B117="","",INDEX(avaliacoes_qualidade[Avaliações],A117))</f>
        <v/>
      </c>
      <c r="E117">
        <f>IF(B117="","",IFERROR(INDEX(escolas[Column1.tipo],MATCH(B117,escolas[Column1.nome],0)),"—"))</f>
        <v/>
      </c>
      <c r="F117">
        <f>IF(B117="","",SUMPRODUCT(MAX((RIGHT(B117,LEN(enderecos_escolas[cidade])+1)=" "&amp;enderecos_escolas[cidade])*LEN(enderecos_escolas[cidade]))))</f>
        <v/>
      </c>
      <c r="G117">
        <f>IF(B117="","",IFERROR(INDEX(enderecos_escolas[estado],MATCH(1,INDEX((RIGHT(B117,LEN(enderecos_escolas[cidade])+1)=" "&amp;enderecos_escolas[cidade])*(LEN(enderecos_escolas[cidade])=F117),0),0)),"—"))</f>
        <v/>
      </c>
      <c r="H117">
        <f>IF(B117="","",IFERROR(VLOOKUP(G117,'Parâmetros'!$A$5:$B$31,2,FALSE),"Não localizada"))</f>
        <v/>
      </c>
      <c r="I117">
        <f>IF(B117="","",IFERROR(INDEX(enderecos_escolas[tipoLocalizacao],MATCH(1,INDEX((RIGHT(B117,LEN(enderecos_escolas[cidade])+1)=" "&amp;enderecos_escolas[cidade])*(LEN(enderecos_escolas[cidade])=F117),0),0)),"—"))</f>
        <v/>
      </c>
      <c r="K117">
        <f>IF(C117="","",IF(AND(OR('Ranking Escolas'!$F$4="Todas",H117='Ranking Escolas'!$F$4),OR('Ranking Escolas'!$I$4="Todos",E117='Ranking Escolas'!$I$4)),C117+(1000-A117)/10000000,""))</f>
        <v/>
      </c>
      <c r="M117" t="n">
        <v>116</v>
      </c>
      <c r="N117">
        <f>IF(M117&gt;ROWS(avaliacoes_cursos[curso]),"",INDEX(avaliacoes_cursos[curso],M117))</f>
        <v/>
      </c>
      <c r="O117">
        <f>IF(N117="","",INDEX(avaliacoes_cursos[escola],M117))</f>
        <v/>
      </c>
      <c r="P117">
        <f>IF(N117="","",INDEX(avaliacoes_cursos[Nota média],M117))</f>
        <v/>
      </c>
      <c r="Q117">
        <f>IF(N117="","",IF(COUNTIF(avaliacoes_cursos[curso],N117)&gt;1,N117&amp;" — "&amp;O117,N117))</f>
        <v/>
      </c>
      <c r="R117">
        <f>IF(P117="","",P117+(1000-M117)/10000000)</f>
        <v/>
      </c>
    </row>
    <row r="118">
      <c r="A118" t="n">
        <v>117</v>
      </c>
      <c r="B118">
        <f>IF(A118&gt;ROWS(avaliacoes_qualidade[escola]),"",INDEX(avaliacoes_qualidade[escola],A118))</f>
        <v/>
      </c>
      <c r="C118">
        <f>IF(B118="","",INDEX(avaliacoes_qualidade[Nota média],A118))</f>
        <v/>
      </c>
      <c r="D118">
        <f>IF(B118="","",INDEX(avaliacoes_qualidade[Avaliações],A118))</f>
        <v/>
      </c>
      <c r="E118">
        <f>IF(B118="","",IFERROR(INDEX(escolas[Column1.tipo],MATCH(B118,escolas[Column1.nome],0)),"—"))</f>
        <v/>
      </c>
      <c r="F118">
        <f>IF(B118="","",SUMPRODUCT(MAX((RIGHT(B118,LEN(enderecos_escolas[cidade])+1)=" "&amp;enderecos_escolas[cidade])*LEN(enderecos_escolas[cidade]))))</f>
        <v/>
      </c>
      <c r="G118">
        <f>IF(B118="","",IFERROR(INDEX(enderecos_escolas[estado],MATCH(1,INDEX((RIGHT(B118,LEN(enderecos_escolas[cidade])+1)=" "&amp;enderecos_escolas[cidade])*(LEN(enderecos_escolas[cidade])=F118),0),0)),"—"))</f>
        <v/>
      </c>
      <c r="H118">
        <f>IF(B118="","",IFERROR(VLOOKUP(G118,'Parâmetros'!$A$5:$B$31,2,FALSE),"Não localizada"))</f>
        <v/>
      </c>
      <c r="I118">
        <f>IF(B118="","",IFERROR(INDEX(enderecos_escolas[tipoLocalizacao],MATCH(1,INDEX((RIGHT(B118,LEN(enderecos_escolas[cidade])+1)=" "&amp;enderecos_escolas[cidade])*(LEN(enderecos_escolas[cidade])=F118),0),0)),"—"))</f>
        <v/>
      </c>
      <c r="K118">
        <f>IF(C118="","",IF(AND(OR('Ranking Escolas'!$F$4="Todas",H118='Ranking Escolas'!$F$4),OR('Ranking Escolas'!$I$4="Todos",E118='Ranking Escolas'!$I$4)),C118+(1000-A118)/10000000,""))</f>
        <v/>
      </c>
      <c r="M118" t="n">
        <v>117</v>
      </c>
      <c r="N118">
        <f>IF(M118&gt;ROWS(avaliacoes_cursos[curso]),"",INDEX(avaliacoes_cursos[curso],M118))</f>
        <v/>
      </c>
      <c r="O118">
        <f>IF(N118="","",INDEX(avaliacoes_cursos[escola],M118))</f>
        <v/>
      </c>
      <c r="P118">
        <f>IF(N118="","",INDEX(avaliacoes_cursos[Nota média],M118))</f>
        <v/>
      </c>
      <c r="Q118">
        <f>IF(N118="","",IF(COUNTIF(avaliacoes_cursos[curso],N118)&gt;1,N118&amp;" — "&amp;O118,N118))</f>
        <v/>
      </c>
      <c r="R118">
        <f>IF(P118="","",P118+(1000-M118)/10000000)</f>
        <v/>
      </c>
    </row>
    <row r="119">
      <c r="A119" t="n">
        <v>118</v>
      </c>
      <c r="B119">
        <f>IF(A119&gt;ROWS(avaliacoes_qualidade[escola]),"",INDEX(avaliacoes_qualidade[escola],A119))</f>
        <v/>
      </c>
      <c r="C119">
        <f>IF(B119="","",INDEX(avaliacoes_qualidade[Nota média],A119))</f>
        <v/>
      </c>
      <c r="D119">
        <f>IF(B119="","",INDEX(avaliacoes_qualidade[Avaliações],A119))</f>
        <v/>
      </c>
      <c r="E119">
        <f>IF(B119="","",IFERROR(INDEX(escolas[Column1.tipo],MATCH(B119,escolas[Column1.nome],0)),"—"))</f>
        <v/>
      </c>
      <c r="F119">
        <f>IF(B119="","",SUMPRODUCT(MAX((RIGHT(B119,LEN(enderecos_escolas[cidade])+1)=" "&amp;enderecos_escolas[cidade])*LEN(enderecos_escolas[cidade]))))</f>
        <v/>
      </c>
      <c r="G119">
        <f>IF(B119="","",IFERROR(INDEX(enderecos_escolas[estado],MATCH(1,INDEX((RIGHT(B119,LEN(enderecos_escolas[cidade])+1)=" "&amp;enderecos_escolas[cidade])*(LEN(enderecos_escolas[cidade])=F119),0),0)),"—"))</f>
        <v/>
      </c>
      <c r="H119">
        <f>IF(B119="","",IFERROR(VLOOKUP(G119,'Parâmetros'!$A$5:$B$31,2,FALSE),"Não localizada"))</f>
        <v/>
      </c>
      <c r="I119">
        <f>IF(B119="","",IFERROR(INDEX(enderecos_escolas[tipoLocalizacao],MATCH(1,INDEX((RIGHT(B119,LEN(enderecos_escolas[cidade])+1)=" "&amp;enderecos_escolas[cidade])*(LEN(enderecos_escolas[cidade])=F119),0),0)),"—"))</f>
        <v/>
      </c>
      <c r="K119">
        <f>IF(C119="","",IF(AND(OR('Ranking Escolas'!$F$4="Todas",H119='Ranking Escolas'!$F$4),OR('Ranking Escolas'!$I$4="Todos",E119='Ranking Escolas'!$I$4)),C119+(1000-A119)/10000000,""))</f>
        <v/>
      </c>
      <c r="M119" t="n">
        <v>118</v>
      </c>
      <c r="N119">
        <f>IF(M119&gt;ROWS(avaliacoes_cursos[curso]),"",INDEX(avaliacoes_cursos[curso],M119))</f>
        <v/>
      </c>
      <c r="O119">
        <f>IF(N119="","",INDEX(avaliacoes_cursos[escola],M119))</f>
        <v/>
      </c>
      <c r="P119">
        <f>IF(N119="","",INDEX(avaliacoes_cursos[Nota média],M119))</f>
        <v/>
      </c>
      <c r="Q119">
        <f>IF(N119="","",IF(COUNTIF(avaliacoes_cursos[curso],N119)&gt;1,N119&amp;" — "&amp;O119,N119))</f>
        <v/>
      </c>
      <c r="R119">
        <f>IF(P119="","",P119+(1000-M119)/10000000)</f>
        <v/>
      </c>
    </row>
    <row r="120">
      <c r="A120" t="n">
        <v>119</v>
      </c>
      <c r="B120">
        <f>IF(A120&gt;ROWS(avaliacoes_qualidade[escola]),"",INDEX(avaliacoes_qualidade[escola],A120))</f>
        <v/>
      </c>
      <c r="C120">
        <f>IF(B120="","",INDEX(avaliacoes_qualidade[Nota média],A120))</f>
        <v/>
      </c>
      <c r="D120">
        <f>IF(B120="","",INDEX(avaliacoes_qualidade[Avaliações],A120))</f>
        <v/>
      </c>
      <c r="E120">
        <f>IF(B120="","",IFERROR(INDEX(escolas[Column1.tipo],MATCH(B120,escolas[Column1.nome],0)),"—"))</f>
        <v/>
      </c>
      <c r="F120">
        <f>IF(B120="","",SUMPRODUCT(MAX((RIGHT(B120,LEN(enderecos_escolas[cidade])+1)=" "&amp;enderecos_escolas[cidade])*LEN(enderecos_escolas[cidade]))))</f>
        <v/>
      </c>
      <c r="G120">
        <f>IF(B120="","",IFERROR(INDEX(enderecos_escolas[estado],MATCH(1,INDEX((RIGHT(B120,LEN(enderecos_escolas[cidade])+1)=" "&amp;enderecos_escolas[cidade])*(LEN(enderecos_escolas[cidade])=F120),0),0)),"—"))</f>
        <v/>
      </c>
      <c r="H120">
        <f>IF(B120="","",IFERROR(VLOOKUP(G120,'Parâmetros'!$A$5:$B$31,2,FALSE),"Não localizada"))</f>
        <v/>
      </c>
      <c r="I120">
        <f>IF(B120="","",IFERROR(INDEX(enderecos_escolas[tipoLocalizacao],MATCH(1,INDEX((RIGHT(B120,LEN(enderecos_escolas[cidade])+1)=" "&amp;enderecos_escolas[cidade])*(LEN(enderecos_escolas[cidade])=F120),0),0)),"—"))</f>
        <v/>
      </c>
      <c r="K120">
        <f>IF(C120="","",IF(AND(OR('Ranking Escolas'!$F$4="Todas",H120='Ranking Escolas'!$F$4),OR('Ranking Escolas'!$I$4="Todos",E120='Ranking Escolas'!$I$4)),C120+(1000-A120)/10000000,""))</f>
        <v/>
      </c>
      <c r="M120" t="n">
        <v>119</v>
      </c>
      <c r="N120">
        <f>IF(M120&gt;ROWS(avaliacoes_cursos[curso]),"",INDEX(avaliacoes_cursos[curso],M120))</f>
        <v/>
      </c>
      <c r="O120">
        <f>IF(N120="","",INDEX(avaliacoes_cursos[escola],M120))</f>
        <v/>
      </c>
      <c r="P120">
        <f>IF(N120="","",INDEX(avaliacoes_cursos[Nota média],M120))</f>
        <v/>
      </c>
      <c r="Q120">
        <f>IF(N120="","",IF(COUNTIF(avaliacoes_cursos[curso],N120)&gt;1,N120&amp;" — "&amp;O120,N120))</f>
        <v/>
      </c>
      <c r="R120">
        <f>IF(P120="","",P120+(1000-M120)/10000000)</f>
        <v/>
      </c>
    </row>
    <row r="121">
      <c r="A121" t="n">
        <v>120</v>
      </c>
      <c r="B121">
        <f>IF(A121&gt;ROWS(avaliacoes_qualidade[escola]),"",INDEX(avaliacoes_qualidade[escola],A121))</f>
        <v/>
      </c>
      <c r="C121">
        <f>IF(B121="","",INDEX(avaliacoes_qualidade[Nota média],A121))</f>
        <v/>
      </c>
      <c r="D121">
        <f>IF(B121="","",INDEX(avaliacoes_qualidade[Avaliações],A121))</f>
        <v/>
      </c>
      <c r="E121">
        <f>IF(B121="","",IFERROR(INDEX(escolas[Column1.tipo],MATCH(B121,escolas[Column1.nome],0)),"—"))</f>
        <v/>
      </c>
      <c r="F121">
        <f>IF(B121="","",SUMPRODUCT(MAX((RIGHT(B121,LEN(enderecos_escolas[cidade])+1)=" "&amp;enderecos_escolas[cidade])*LEN(enderecos_escolas[cidade]))))</f>
        <v/>
      </c>
      <c r="G121">
        <f>IF(B121="","",IFERROR(INDEX(enderecos_escolas[estado],MATCH(1,INDEX((RIGHT(B121,LEN(enderecos_escolas[cidade])+1)=" "&amp;enderecos_escolas[cidade])*(LEN(enderecos_escolas[cidade])=F121),0),0)),"—"))</f>
        <v/>
      </c>
      <c r="H121">
        <f>IF(B121="","",IFERROR(VLOOKUP(G121,'Parâmetros'!$A$5:$B$31,2,FALSE),"Não localizada"))</f>
        <v/>
      </c>
      <c r="I121">
        <f>IF(B121="","",IFERROR(INDEX(enderecos_escolas[tipoLocalizacao],MATCH(1,INDEX((RIGHT(B121,LEN(enderecos_escolas[cidade])+1)=" "&amp;enderecos_escolas[cidade])*(LEN(enderecos_escolas[cidade])=F121),0),0)),"—"))</f>
        <v/>
      </c>
      <c r="K121">
        <f>IF(C121="","",IF(AND(OR('Ranking Escolas'!$F$4="Todas",H121='Ranking Escolas'!$F$4),OR('Ranking Escolas'!$I$4="Todos",E121='Ranking Escolas'!$I$4)),C121+(1000-A121)/10000000,""))</f>
        <v/>
      </c>
      <c r="M121" t="n">
        <v>120</v>
      </c>
      <c r="N121">
        <f>IF(M121&gt;ROWS(avaliacoes_cursos[curso]),"",INDEX(avaliacoes_cursos[curso],M121))</f>
        <v/>
      </c>
      <c r="O121">
        <f>IF(N121="","",INDEX(avaliacoes_cursos[escola],M121))</f>
        <v/>
      </c>
      <c r="P121">
        <f>IF(N121="","",INDEX(avaliacoes_cursos[Nota média],M121))</f>
        <v/>
      </c>
      <c r="Q121">
        <f>IF(N121="","",IF(COUNTIF(avaliacoes_cursos[curso],N121)&gt;1,N121&amp;" — "&amp;O121,N121))</f>
        <v/>
      </c>
      <c r="R121">
        <f>IF(P121="","",P121+(1000-M121)/10000000)</f>
        <v/>
      </c>
    </row>
    <row r="122">
      <c r="A122" t="n">
        <v>121</v>
      </c>
      <c r="B122">
        <f>IF(A122&gt;ROWS(avaliacoes_qualidade[escola]),"",INDEX(avaliacoes_qualidade[escola],A122))</f>
        <v/>
      </c>
      <c r="C122">
        <f>IF(B122="","",INDEX(avaliacoes_qualidade[Nota média],A122))</f>
        <v/>
      </c>
      <c r="D122">
        <f>IF(B122="","",INDEX(avaliacoes_qualidade[Avaliações],A122))</f>
        <v/>
      </c>
      <c r="E122">
        <f>IF(B122="","",IFERROR(INDEX(escolas[Column1.tipo],MATCH(B122,escolas[Column1.nome],0)),"—"))</f>
        <v/>
      </c>
      <c r="F122">
        <f>IF(B122="","",SUMPRODUCT(MAX((RIGHT(B122,LEN(enderecos_escolas[cidade])+1)=" "&amp;enderecos_escolas[cidade])*LEN(enderecos_escolas[cidade]))))</f>
        <v/>
      </c>
      <c r="G122">
        <f>IF(B122="","",IFERROR(INDEX(enderecos_escolas[estado],MATCH(1,INDEX((RIGHT(B122,LEN(enderecos_escolas[cidade])+1)=" "&amp;enderecos_escolas[cidade])*(LEN(enderecos_escolas[cidade])=F122),0),0)),"—"))</f>
        <v/>
      </c>
      <c r="H122">
        <f>IF(B122="","",IFERROR(VLOOKUP(G122,'Parâmetros'!$A$5:$B$31,2,FALSE),"Não localizada"))</f>
        <v/>
      </c>
      <c r="I122">
        <f>IF(B122="","",IFERROR(INDEX(enderecos_escolas[tipoLocalizacao],MATCH(1,INDEX((RIGHT(B122,LEN(enderecos_escolas[cidade])+1)=" "&amp;enderecos_escolas[cidade])*(LEN(enderecos_escolas[cidade])=F122),0),0)),"—"))</f>
        <v/>
      </c>
      <c r="K122">
        <f>IF(C122="","",IF(AND(OR('Ranking Escolas'!$F$4="Todas",H122='Ranking Escolas'!$F$4),OR('Ranking Escolas'!$I$4="Todos",E122='Ranking Escolas'!$I$4)),C122+(1000-A122)/10000000,""))</f>
        <v/>
      </c>
      <c r="M122" t="n">
        <v>121</v>
      </c>
      <c r="N122">
        <f>IF(M122&gt;ROWS(avaliacoes_cursos[curso]),"",INDEX(avaliacoes_cursos[curso],M122))</f>
        <v/>
      </c>
      <c r="O122">
        <f>IF(N122="","",INDEX(avaliacoes_cursos[escola],M122))</f>
        <v/>
      </c>
      <c r="P122">
        <f>IF(N122="","",INDEX(avaliacoes_cursos[Nota média],M122))</f>
        <v/>
      </c>
      <c r="Q122">
        <f>IF(N122="","",IF(COUNTIF(avaliacoes_cursos[curso],N122)&gt;1,N122&amp;" — "&amp;O122,N122))</f>
        <v/>
      </c>
      <c r="R122">
        <f>IF(P122="","",P122+(1000-M122)/10000000)</f>
        <v/>
      </c>
    </row>
    <row r="123">
      <c r="A123" t="n">
        <v>122</v>
      </c>
      <c r="B123">
        <f>IF(A123&gt;ROWS(avaliacoes_qualidade[escola]),"",INDEX(avaliacoes_qualidade[escola],A123))</f>
        <v/>
      </c>
      <c r="C123">
        <f>IF(B123="","",INDEX(avaliacoes_qualidade[Nota média],A123))</f>
        <v/>
      </c>
      <c r="D123">
        <f>IF(B123="","",INDEX(avaliacoes_qualidade[Avaliações],A123))</f>
        <v/>
      </c>
      <c r="E123">
        <f>IF(B123="","",IFERROR(INDEX(escolas[Column1.tipo],MATCH(B123,escolas[Column1.nome],0)),"—"))</f>
        <v/>
      </c>
      <c r="F123">
        <f>IF(B123="","",SUMPRODUCT(MAX((RIGHT(B123,LEN(enderecos_escolas[cidade])+1)=" "&amp;enderecos_escolas[cidade])*LEN(enderecos_escolas[cidade]))))</f>
        <v/>
      </c>
      <c r="G123">
        <f>IF(B123="","",IFERROR(INDEX(enderecos_escolas[estado],MATCH(1,INDEX((RIGHT(B123,LEN(enderecos_escolas[cidade])+1)=" "&amp;enderecos_escolas[cidade])*(LEN(enderecos_escolas[cidade])=F123),0),0)),"—"))</f>
        <v/>
      </c>
      <c r="H123">
        <f>IF(B123="","",IFERROR(VLOOKUP(G123,'Parâmetros'!$A$5:$B$31,2,FALSE),"Não localizada"))</f>
        <v/>
      </c>
      <c r="I123">
        <f>IF(B123="","",IFERROR(INDEX(enderecos_escolas[tipoLocalizacao],MATCH(1,INDEX((RIGHT(B123,LEN(enderecos_escolas[cidade])+1)=" "&amp;enderecos_escolas[cidade])*(LEN(enderecos_escolas[cidade])=F123),0),0)),"—"))</f>
        <v/>
      </c>
      <c r="K123">
        <f>IF(C123="","",IF(AND(OR('Ranking Escolas'!$F$4="Todas",H123='Ranking Escolas'!$F$4),OR('Ranking Escolas'!$I$4="Todos",E123='Ranking Escolas'!$I$4)),C123+(1000-A123)/10000000,""))</f>
        <v/>
      </c>
      <c r="M123" t="n">
        <v>122</v>
      </c>
      <c r="N123">
        <f>IF(M123&gt;ROWS(avaliacoes_cursos[curso]),"",INDEX(avaliacoes_cursos[curso],M123))</f>
        <v/>
      </c>
      <c r="O123">
        <f>IF(N123="","",INDEX(avaliacoes_cursos[escola],M123))</f>
        <v/>
      </c>
      <c r="P123">
        <f>IF(N123="","",INDEX(avaliacoes_cursos[Nota média],M123))</f>
        <v/>
      </c>
      <c r="Q123">
        <f>IF(N123="","",IF(COUNTIF(avaliacoes_cursos[curso],N123)&gt;1,N123&amp;" — "&amp;O123,N123))</f>
        <v/>
      </c>
      <c r="R123">
        <f>IF(P123="","",P123+(1000-M123)/10000000)</f>
        <v/>
      </c>
    </row>
    <row r="124">
      <c r="A124" t="n">
        <v>123</v>
      </c>
      <c r="B124">
        <f>IF(A124&gt;ROWS(avaliacoes_qualidade[escola]),"",INDEX(avaliacoes_qualidade[escola],A124))</f>
        <v/>
      </c>
      <c r="C124">
        <f>IF(B124="","",INDEX(avaliacoes_qualidade[Nota média],A124))</f>
        <v/>
      </c>
      <c r="D124">
        <f>IF(B124="","",INDEX(avaliacoes_qualidade[Avaliações],A124))</f>
        <v/>
      </c>
      <c r="E124">
        <f>IF(B124="","",IFERROR(INDEX(escolas[Column1.tipo],MATCH(B124,escolas[Column1.nome],0)),"—"))</f>
        <v/>
      </c>
      <c r="F124">
        <f>IF(B124="","",SUMPRODUCT(MAX((RIGHT(B124,LEN(enderecos_escolas[cidade])+1)=" "&amp;enderecos_escolas[cidade])*LEN(enderecos_escolas[cidade]))))</f>
        <v/>
      </c>
      <c r="G124">
        <f>IF(B124="","",IFERROR(INDEX(enderecos_escolas[estado],MATCH(1,INDEX((RIGHT(B124,LEN(enderecos_escolas[cidade])+1)=" "&amp;enderecos_escolas[cidade])*(LEN(enderecos_escolas[cidade])=F124),0),0)),"—"))</f>
        <v/>
      </c>
      <c r="H124">
        <f>IF(B124="","",IFERROR(VLOOKUP(G124,'Parâmetros'!$A$5:$B$31,2,FALSE),"Não localizada"))</f>
        <v/>
      </c>
      <c r="I124">
        <f>IF(B124="","",IFERROR(INDEX(enderecos_escolas[tipoLocalizacao],MATCH(1,INDEX((RIGHT(B124,LEN(enderecos_escolas[cidade])+1)=" "&amp;enderecos_escolas[cidade])*(LEN(enderecos_escolas[cidade])=F124),0),0)),"—"))</f>
        <v/>
      </c>
      <c r="K124">
        <f>IF(C124="","",IF(AND(OR('Ranking Escolas'!$F$4="Todas",H124='Ranking Escolas'!$F$4),OR('Ranking Escolas'!$I$4="Todos",E124='Ranking Escolas'!$I$4)),C124+(1000-A124)/10000000,""))</f>
        <v/>
      </c>
      <c r="M124" t="n">
        <v>123</v>
      </c>
      <c r="N124">
        <f>IF(M124&gt;ROWS(avaliacoes_cursos[curso]),"",INDEX(avaliacoes_cursos[curso],M124))</f>
        <v/>
      </c>
      <c r="O124">
        <f>IF(N124="","",INDEX(avaliacoes_cursos[escola],M124))</f>
        <v/>
      </c>
      <c r="P124">
        <f>IF(N124="","",INDEX(avaliacoes_cursos[Nota média],M124))</f>
        <v/>
      </c>
      <c r="Q124">
        <f>IF(N124="","",IF(COUNTIF(avaliacoes_cursos[curso],N124)&gt;1,N124&amp;" — "&amp;O124,N124))</f>
        <v/>
      </c>
      <c r="R124">
        <f>IF(P124="","",P124+(1000-M124)/10000000)</f>
        <v/>
      </c>
    </row>
    <row r="125">
      <c r="A125" t="n">
        <v>124</v>
      </c>
      <c r="B125">
        <f>IF(A125&gt;ROWS(avaliacoes_qualidade[escola]),"",INDEX(avaliacoes_qualidade[escola],A125))</f>
        <v/>
      </c>
      <c r="C125">
        <f>IF(B125="","",INDEX(avaliacoes_qualidade[Nota média],A125))</f>
        <v/>
      </c>
      <c r="D125">
        <f>IF(B125="","",INDEX(avaliacoes_qualidade[Avaliações],A125))</f>
        <v/>
      </c>
      <c r="E125">
        <f>IF(B125="","",IFERROR(INDEX(escolas[Column1.tipo],MATCH(B125,escolas[Column1.nome],0)),"—"))</f>
        <v/>
      </c>
      <c r="F125">
        <f>IF(B125="","",SUMPRODUCT(MAX((RIGHT(B125,LEN(enderecos_escolas[cidade])+1)=" "&amp;enderecos_escolas[cidade])*LEN(enderecos_escolas[cidade]))))</f>
        <v/>
      </c>
      <c r="G125">
        <f>IF(B125="","",IFERROR(INDEX(enderecos_escolas[estado],MATCH(1,INDEX((RIGHT(B125,LEN(enderecos_escolas[cidade])+1)=" "&amp;enderecos_escolas[cidade])*(LEN(enderecos_escolas[cidade])=F125),0),0)),"—"))</f>
        <v/>
      </c>
      <c r="H125">
        <f>IF(B125="","",IFERROR(VLOOKUP(G125,'Parâmetros'!$A$5:$B$31,2,FALSE),"Não localizada"))</f>
        <v/>
      </c>
      <c r="I125">
        <f>IF(B125="","",IFERROR(INDEX(enderecos_escolas[tipoLocalizacao],MATCH(1,INDEX((RIGHT(B125,LEN(enderecos_escolas[cidade])+1)=" "&amp;enderecos_escolas[cidade])*(LEN(enderecos_escolas[cidade])=F125),0),0)),"—"))</f>
        <v/>
      </c>
      <c r="K125">
        <f>IF(C125="","",IF(AND(OR('Ranking Escolas'!$F$4="Todas",H125='Ranking Escolas'!$F$4),OR('Ranking Escolas'!$I$4="Todos",E125='Ranking Escolas'!$I$4)),C125+(1000-A125)/10000000,""))</f>
        <v/>
      </c>
      <c r="M125" t="n">
        <v>124</v>
      </c>
      <c r="N125">
        <f>IF(M125&gt;ROWS(avaliacoes_cursos[curso]),"",INDEX(avaliacoes_cursos[curso],M125))</f>
        <v/>
      </c>
      <c r="O125">
        <f>IF(N125="","",INDEX(avaliacoes_cursos[escola],M125))</f>
        <v/>
      </c>
      <c r="P125">
        <f>IF(N125="","",INDEX(avaliacoes_cursos[Nota média],M125))</f>
        <v/>
      </c>
      <c r="Q125">
        <f>IF(N125="","",IF(COUNTIF(avaliacoes_cursos[curso],N125)&gt;1,N125&amp;" — "&amp;O125,N125))</f>
        <v/>
      </c>
      <c r="R125">
        <f>IF(P125="","",P125+(1000-M125)/10000000)</f>
        <v/>
      </c>
    </row>
    <row r="126">
      <c r="A126" t="n">
        <v>125</v>
      </c>
      <c r="B126">
        <f>IF(A126&gt;ROWS(avaliacoes_qualidade[escola]),"",INDEX(avaliacoes_qualidade[escola],A126))</f>
        <v/>
      </c>
      <c r="C126">
        <f>IF(B126="","",INDEX(avaliacoes_qualidade[Nota média],A126))</f>
        <v/>
      </c>
      <c r="D126">
        <f>IF(B126="","",INDEX(avaliacoes_qualidade[Avaliações],A126))</f>
        <v/>
      </c>
      <c r="E126">
        <f>IF(B126="","",IFERROR(INDEX(escolas[Column1.tipo],MATCH(B126,escolas[Column1.nome],0)),"—"))</f>
        <v/>
      </c>
      <c r="F126">
        <f>IF(B126="","",SUMPRODUCT(MAX((RIGHT(B126,LEN(enderecos_escolas[cidade])+1)=" "&amp;enderecos_escolas[cidade])*LEN(enderecos_escolas[cidade]))))</f>
        <v/>
      </c>
      <c r="G126">
        <f>IF(B126="","",IFERROR(INDEX(enderecos_escolas[estado],MATCH(1,INDEX((RIGHT(B126,LEN(enderecos_escolas[cidade])+1)=" "&amp;enderecos_escolas[cidade])*(LEN(enderecos_escolas[cidade])=F126),0),0)),"—"))</f>
        <v/>
      </c>
      <c r="H126">
        <f>IF(B126="","",IFERROR(VLOOKUP(G126,'Parâmetros'!$A$5:$B$31,2,FALSE),"Não localizada"))</f>
        <v/>
      </c>
      <c r="I126">
        <f>IF(B126="","",IFERROR(INDEX(enderecos_escolas[tipoLocalizacao],MATCH(1,INDEX((RIGHT(B126,LEN(enderecos_escolas[cidade])+1)=" "&amp;enderecos_escolas[cidade])*(LEN(enderecos_escolas[cidade])=F126),0),0)),"—"))</f>
        <v/>
      </c>
      <c r="K126">
        <f>IF(C126="","",IF(AND(OR('Ranking Escolas'!$F$4="Todas",H126='Ranking Escolas'!$F$4),OR('Ranking Escolas'!$I$4="Todos",E126='Ranking Escolas'!$I$4)),C126+(1000-A126)/10000000,""))</f>
        <v/>
      </c>
      <c r="M126" t="n">
        <v>125</v>
      </c>
      <c r="N126">
        <f>IF(M126&gt;ROWS(avaliacoes_cursos[curso]),"",INDEX(avaliacoes_cursos[curso],M126))</f>
        <v/>
      </c>
      <c r="O126">
        <f>IF(N126="","",INDEX(avaliacoes_cursos[escola],M126))</f>
        <v/>
      </c>
      <c r="P126">
        <f>IF(N126="","",INDEX(avaliacoes_cursos[Nota média],M126))</f>
        <v/>
      </c>
      <c r="Q126">
        <f>IF(N126="","",IF(COUNTIF(avaliacoes_cursos[curso],N126)&gt;1,N126&amp;" — "&amp;O126,N126))</f>
        <v/>
      </c>
      <c r="R126">
        <f>IF(P126="","",P126+(1000-M126)/10000000)</f>
        <v/>
      </c>
    </row>
    <row r="127">
      <c r="A127" t="n">
        <v>126</v>
      </c>
      <c r="B127">
        <f>IF(A127&gt;ROWS(avaliacoes_qualidade[escola]),"",INDEX(avaliacoes_qualidade[escola],A127))</f>
        <v/>
      </c>
      <c r="C127">
        <f>IF(B127="","",INDEX(avaliacoes_qualidade[Nota média],A127))</f>
        <v/>
      </c>
      <c r="D127">
        <f>IF(B127="","",INDEX(avaliacoes_qualidade[Avaliações],A127))</f>
        <v/>
      </c>
      <c r="E127">
        <f>IF(B127="","",IFERROR(INDEX(escolas[Column1.tipo],MATCH(B127,escolas[Column1.nome],0)),"—"))</f>
        <v/>
      </c>
      <c r="F127">
        <f>IF(B127="","",SUMPRODUCT(MAX((RIGHT(B127,LEN(enderecos_escolas[cidade])+1)=" "&amp;enderecos_escolas[cidade])*LEN(enderecos_escolas[cidade]))))</f>
        <v/>
      </c>
      <c r="G127">
        <f>IF(B127="","",IFERROR(INDEX(enderecos_escolas[estado],MATCH(1,INDEX((RIGHT(B127,LEN(enderecos_escolas[cidade])+1)=" "&amp;enderecos_escolas[cidade])*(LEN(enderecos_escolas[cidade])=F127),0),0)),"—"))</f>
        <v/>
      </c>
      <c r="H127">
        <f>IF(B127="","",IFERROR(VLOOKUP(G127,'Parâmetros'!$A$5:$B$31,2,FALSE),"Não localizada"))</f>
        <v/>
      </c>
      <c r="I127">
        <f>IF(B127="","",IFERROR(INDEX(enderecos_escolas[tipoLocalizacao],MATCH(1,INDEX((RIGHT(B127,LEN(enderecos_escolas[cidade])+1)=" "&amp;enderecos_escolas[cidade])*(LEN(enderecos_escolas[cidade])=F127),0),0)),"—"))</f>
        <v/>
      </c>
      <c r="K127">
        <f>IF(C127="","",IF(AND(OR('Ranking Escolas'!$F$4="Todas",H127='Ranking Escolas'!$F$4),OR('Ranking Escolas'!$I$4="Todos",E127='Ranking Escolas'!$I$4)),C127+(1000-A127)/10000000,""))</f>
        <v/>
      </c>
      <c r="M127" t="n">
        <v>126</v>
      </c>
      <c r="N127">
        <f>IF(M127&gt;ROWS(avaliacoes_cursos[curso]),"",INDEX(avaliacoes_cursos[curso],M127))</f>
        <v/>
      </c>
      <c r="O127">
        <f>IF(N127="","",INDEX(avaliacoes_cursos[escola],M127))</f>
        <v/>
      </c>
      <c r="P127">
        <f>IF(N127="","",INDEX(avaliacoes_cursos[Nota média],M127))</f>
        <v/>
      </c>
      <c r="Q127">
        <f>IF(N127="","",IF(COUNTIF(avaliacoes_cursos[curso],N127)&gt;1,N127&amp;" — "&amp;O127,N127))</f>
        <v/>
      </c>
      <c r="R127">
        <f>IF(P127="","",P127+(1000-M127)/10000000)</f>
        <v/>
      </c>
    </row>
    <row r="128">
      <c r="A128" t="n">
        <v>127</v>
      </c>
      <c r="B128">
        <f>IF(A128&gt;ROWS(avaliacoes_qualidade[escola]),"",INDEX(avaliacoes_qualidade[escola],A128))</f>
        <v/>
      </c>
      <c r="C128">
        <f>IF(B128="","",INDEX(avaliacoes_qualidade[Nota média],A128))</f>
        <v/>
      </c>
      <c r="D128">
        <f>IF(B128="","",INDEX(avaliacoes_qualidade[Avaliações],A128))</f>
        <v/>
      </c>
      <c r="E128">
        <f>IF(B128="","",IFERROR(INDEX(escolas[Column1.tipo],MATCH(B128,escolas[Column1.nome],0)),"—"))</f>
        <v/>
      </c>
      <c r="F128">
        <f>IF(B128="","",SUMPRODUCT(MAX((RIGHT(B128,LEN(enderecos_escolas[cidade])+1)=" "&amp;enderecos_escolas[cidade])*LEN(enderecos_escolas[cidade]))))</f>
        <v/>
      </c>
      <c r="G128">
        <f>IF(B128="","",IFERROR(INDEX(enderecos_escolas[estado],MATCH(1,INDEX((RIGHT(B128,LEN(enderecos_escolas[cidade])+1)=" "&amp;enderecos_escolas[cidade])*(LEN(enderecos_escolas[cidade])=F128),0),0)),"—"))</f>
        <v/>
      </c>
      <c r="H128">
        <f>IF(B128="","",IFERROR(VLOOKUP(G128,'Parâmetros'!$A$5:$B$31,2,FALSE),"Não localizada"))</f>
        <v/>
      </c>
      <c r="I128">
        <f>IF(B128="","",IFERROR(INDEX(enderecos_escolas[tipoLocalizacao],MATCH(1,INDEX((RIGHT(B128,LEN(enderecos_escolas[cidade])+1)=" "&amp;enderecos_escolas[cidade])*(LEN(enderecos_escolas[cidade])=F128),0),0)),"—"))</f>
        <v/>
      </c>
      <c r="K128">
        <f>IF(C128="","",IF(AND(OR('Ranking Escolas'!$F$4="Todas",H128='Ranking Escolas'!$F$4),OR('Ranking Escolas'!$I$4="Todos",E128='Ranking Escolas'!$I$4)),C128+(1000-A128)/10000000,""))</f>
        <v/>
      </c>
      <c r="M128" t="n">
        <v>127</v>
      </c>
      <c r="N128">
        <f>IF(M128&gt;ROWS(avaliacoes_cursos[curso]),"",INDEX(avaliacoes_cursos[curso],M128))</f>
        <v/>
      </c>
      <c r="O128">
        <f>IF(N128="","",INDEX(avaliacoes_cursos[escola],M128))</f>
        <v/>
      </c>
      <c r="P128">
        <f>IF(N128="","",INDEX(avaliacoes_cursos[Nota média],M128))</f>
        <v/>
      </c>
      <c r="Q128">
        <f>IF(N128="","",IF(COUNTIF(avaliacoes_cursos[curso],N128)&gt;1,N128&amp;" — "&amp;O128,N128))</f>
        <v/>
      </c>
      <c r="R128">
        <f>IF(P128="","",P128+(1000-M128)/10000000)</f>
        <v/>
      </c>
    </row>
    <row r="129">
      <c r="A129" t="n">
        <v>128</v>
      </c>
      <c r="B129">
        <f>IF(A129&gt;ROWS(avaliacoes_qualidade[escola]),"",INDEX(avaliacoes_qualidade[escola],A129))</f>
        <v/>
      </c>
      <c r="C129">
        <f>IF(B129="","",INDEX(avaliacoes_qualidade[Nota média],A129))</f>
        <v/>
      </c>
      <c r="D129">
        <f>IF(B129="","",INDEX(avaliacoes_qualidade[Avaliações],A129))</f>
        <v/>
      </c>
      <c r="E129">
        <f>IF(B129="","",IFERROR(INDEX(escolas[Column1.tipo],MATCH(B129,escolas[Column1.nome],0)),"—"))</f>
        <v/>
      </c>
      <c r="F129">
        <f>IF(B129="","",SUMPRODUCT(MAX((RIGHT(B129,LEN(enderecos_escolas[cidade])+1)=" "&amp;enderecos_escolas[cidade])*LEN(enderecos_escolas[cidade]))))</f>
        <v/>
      </c>
      <c r="G129">
        <f>IF(B129="","",IFERROR(INDEX(enderecos_escolas[estado],MATCH(1,INDEX((RIGHT(B129,LEN(enderecos_escolas[cidade])+1)=" "&amp;enderecos_escolas[cidade])*(LEN(enderecos_escolas[cidade])=F129),0),0)),"—"))</f>
        <v/>
      </c>
      <c r="H129">
        <f>IF(B129="","",IFERROR(VLOOKUP(G129,'Parâmetros'!$A$5:$B$31,2,FALSE),"Não localizada"))</f>
        <v/>
      </c>
      <c r="I129">
        <f>IF(B129="","",IFERROR(INDEX(enderecos_escolas[tipoLocalizacao],MATCH(1,INDEX((RIGHT(B129,LEN(enderecos_escolas[cidade])+1)=" "&amp;enderecos_escolas[cidade])*(LEN(enderecos_escolas[cidade])=F129),0),0)),"—"))</f>
        <v/>
      </c>
      <c r="K129">
        <f>IF(C129="","",IF(AND(OR('Ranking Escolas'!$F$4="Todas",H129='Ranking Escolas'!$F$4),OR('Ranking Escolas'!$I$4="Todos",E129='Ranking Escolas'!$I$4)),C129+(1000-A129)/10000000,""))</f>
        <v/>
      </c>
      <c r="M129" t="n">
        <v>128</v>
      </c>
      <c r="N129">
        <f>IF(M129&gt;ROWS(avaliacoes_cursos[curso]),"",INDEX(avaliacoes_cursos[curso],M129))</f>
        <v/>
      </c>
      <c r="O129">
        <f>IF(N129="","",INDEX(avaliacoes_cursos[escola],M129))</f>
        <v/>
      </c>
      <c r="P129">
        <f>IF(N129="","",INDEX(avaliacoes_cursos[Nota média],M129))</f>
        <v/>
      </c>
      <c r="Q129">
        <f>IF(N129="","",IF(COUNTIF(avaliacoes_cursos[curso],N129)&gt;1,N129&amp;" — "&amp;O129,N129))</f>
        <v/>
      </c>
      <c r="R129">
        <f>IF(P129="","",P129+(1000-M129)/10000000)</f>
        <v/>
      </c>
    </row>
    <row r="130">
      <c r="A130" t="n">
        <v>129</v>
      </c>
      <c r="B130">
        <f>IF(A130&gt;ROWS(avaliacoes_qualidade[escola]),"",INDEX(avaliacoes_qualidade[escola],A130))</f>
        <v/>
      </c>
      <c r="C130">
        <f>IF(B130="","",INDEX(avaliacoes_qualidade[Nota média],A130))</f>
        <v/>
      </c>
      <c r="D130">
        <f>IF(B130="","",INDEX(avaliacoes_qualidade[Avaliações],A130))</f>
        <v/>
      </c>
      <c r="E130">
        <f>IF(B130="","",IFERROR(INDEX(escolas[Column1.tipo],MATCH(B130,escolas[Column1.nome],0)),"—"))</f>
        <v/>
      </c>
      <c r="F130">
        <f>IF(B130="","",SUMPRODUCT(MAX((RIGHT(B130,LEN(enderecos_escolas[cidade])+1)=" "&amp;enderecos_escolas[cidade])*LEN(enderecos_escolas[cidade]))))</f>
        <v/>
      </c>
      <c r="G130">
        <f>IF(B130="","",IFERROR(INDEX(enderecos_escolas[estado],MATCH(1,INDEX((RIGHT(B130,LEN(enderecos_escolas[cidade])+1)=" "&amp;enderecos_escolas[cidade])*(LEN(enderecos_escolas[cidade])=F130),0),0)),"—"))</f>
        <v/>
      </c>
      <c r="H130">
        <f>IF(B130="","",IFERROR(VLOOKUP(G130,'Parâmetros'!$A$5:$B$31,2,FALSE),"Não localizada"))</f>
        <v/>
      </c>
      <c r="I130">
        <f>IF(B130="","",IFERROR(INDEX(enderecos_escolas[tipoLocalizacao],MATCH(1,INDEX((RIGHT(B130,LEN(enderecos_escolas[cidade])+1)=" "&amp;enderecos_escolas[cidade])*(LEN(enderecos_escolas[cidade])=F130),0),0)),"—"))</f>
        <v/>
      </c>
      <c r="K130">
        <f>IF(C130="","",IF(AND(OR('Ranking Escolas'!$F$4="Todas",H130='Ranking Escolas'!$F$4),OR('Ranking Escolas'!$I$4="Todos",E130='Ranking Escolas'!$I$4)),C130+(1000-A130)/10000000,""))</f>
        <v/>
      </c>
      <c r="M130" t="n">
        <v>129</v>
      </c>
      <c r="N130">
        <f>IF(M130&gt;ROWS(avaliacoes_cursos[curso]),"",INDEX(avaliacoes_cursos[curso],M130))</f>
        <v/>
      </c>
      <c r="O130">
        <f>IF(N130="","",INDEX(avaliacoes_cursos[escola],M130))</f>
        <v/>
      </c>
      <c r="P130">
        <f>IF(N130="","",INDEX(avaliacoes_cursos[Nota média],M130))</f>
        <v/>
      </c>
      <c r="Q130">
        <f>IF(N130="","",IF(COUNTIF(avaliacoes_cursos[curso],N130)&gt;1,N130&amp;" — "&amp;O130,N130))</f>
        <v/>
      </c>
      <c r="R130">
        <f>IF(P130="","",P130+(1000-M130)/10000000)</f>
        <v/>
      </c>
    </row>
    <row r="131">
      <c r="A131" t="n">
        <v>130</v>
      </c>
      <c r="B131">
        <f>IF(A131&gt;ROWS(avaliacoes_qualidade[escola]),"",INDEX(avaliacoes_qualidade[escola],A131))</f>
        <v/>
      </c>
      <c r="C131">
        <f>IF(B131="","",INDEX(avaliacoes_qualidade[Nota média],A131))</f>
        <v/>
      </c>
      <c r="D131">
        <f>IF(B131="","",INDEX(avaliacoes_qualidade[Avaliações],A131))</f>
        <v/>
      </c>
      <c r="E131">
        <f>IF(B131="","",IFERROR(INDEX(escolas[Column1.tipo],MATCH(B131,escolas[Column1.nome],0)),"—"))</f>
        <v/>
      </c>
      <c r="F131">
        <f>IF(B131="","",SUMPRODUCT(MAX((RIGHT(B131,LEN(enderecos_escolas[cidade])+1)=" "&amp;enderecos_escolas[cidade])*LEN(enderecos_escolas[cidade]))))</f>
        <v/>
      </c>
      <c r="G131">
        <f>IF(B131="","",IFERROR(INDEX(enderecos_escolas[estado],MATCH(1,INDEX((RIGHT(B131,LEN(enderecos_escolas[cidade])+1)=" "&amp;enderecos_escolas[cidade])*(LEN(enderecos_escolas[cidade])=F131),0),0)),"—"))</f>
        <v/>
      </c>
      <c r="H131">
        <f>IF(B131="","",IFERROR(VLOOKUP(G131,'Parâmetros'!$A$5:$B$31,2,FALSE),"Não localizada"))</f>
        <v/>
      </c>
      <c r="I131">
        <f>IF(B131="","",IFERROR(INDEX(enderecos_escolas[tipoLocalizacao],MATCH(1,INDEX((RIGHT(B131,LEN(enderecos_escolas[cidade])+1)=" "&amp;enderecos_escolas[cidade])*(LEN(enderecos_escolas[cidade])=F131),0),0)),"—"))</f>
        <v/>
      </c>
      <c r="K131">
        <f>IF(C131="","",IF(AND(OR('Ranking Escolas'!$F$4="Todas",H131='Ranking Escolas'!$F$4),OR('Ranking Escolas'!$I$4="Todos",E131='Ranking Escolas'!$I$4)),C131+(1000-A131)/10000000,""))</f>
        <v/>
      </c>
      <c r="M131" t="n">
        <v>130</v>
      </c>
      <c r="N131">
        <f>IF(M131&gt;ROWS(avaliacoes_cursos[curso]),"",INDEX(avaliacoes_cursos[curso],M131))</f>
        <v/>
      </c>
      <c r="O131">
        <f>IF(N131="","",INDEX(avaliacoes_cursos[escola],M131))</f>
        <v/>
      </c>
      <c r="P131">
        <f>IF(N131="","",INDEX(avaliacoes_cursos[Nota média],M131))</f>
        <v/>
      </c>
      <c r="Q131">
        <f>IF(N131="","",IF(COUNTIF(avaliacoes_cursos[curso],N131)&gt;1,N131&amp;" — "&amp;O131,N131))</f>
        <v/>
      </c>
      <c r="R131">
        <f>IF(P131="","",P131+(1000-M131)/10000000)</f>
        <v/>
      </c>
    </row>
    <row r="132">
      <c r="A132" t="n">
        <v>131</v>
      </c>
      <c r="B132">
        <f>IF(A132&gt;ROWS(avaliacoes_qualidade[escola]),"",INDEX(avaliacoes_qualidade[escola],A132))</f>
        <v/>
      </c>
      <c r="C132">
        <f>IF(B132="","",INDEX(avaliacoes_qualidade[Nota média],A132))</f>
        <v/>
      </c>
      <c r="D132">
        <f>IF(B132="","",INDEX(avaliacoes_qualidade[Avaliações],A132))</f>
        <v/>
      </c>
      <c r="E132">
        <f>IF(B132="","",IFERROR(INDEX(escolas[Column1.tipo],MATCH(B132,escolas[Column1.nome],0)),"—"))</f>
        <v/>
      </c>
      <c r="F132">
        <f>IF(B132="","",SUMPRODUCT(MAX((RIGHT(B132,LEN(enderecos_escolas[cidade])+1)=" "&amp;enderecos_escolas[cidade])*LEN(enderecos_escolas[cidade]))))</f>
        <v/>
      </c>
      <c r="G132">
        <f>IF(B132="","",IFERROR(INDEX(enderecos_escolas[estado],MATCH(1,INDEX((RIGHT(B132,LEN(enderecos_escolas[cidade])+1)=" "&amp;enderecos_escolas[cidade])*(LEN(enderecos_escolas[cidade])=F132),0),0)),"—"))</f>
        <v/>
      </c>
      <c r="H132">
        <f>IF(B132="","",IFERROR(VLOOKUP(G132,'Parâmetros'!$A$5:$B$31,2,FALSE),"Não localizada"))</f>
        <v/>
      </c>
      <c r="I132">
        <f>IF(B132="","",IFERROR(INDEX(enderecos_escolas[tipoLocalizacao],MATCH(1,INDEX((RIGHT(B132,LEN(enderecos_escolas[cidade])+1)=" "&amp;enderecos_escolas[cidade])*(LEN(enderecos_escolas[cidade])=F132),0),0)),"—"))</f>
        <v/>
      </c>
      <c r="K132">
        <f>IF(C132="","",IF(AND(OR('Ranking Escolas'!$F$4="Todas",H132='Ranking Escolas'!$F$4),OR('Ranking Escolas'!$I$4="Todos",E132='Ranking Escolas'!$I$4)),C132+(1000-A132)/10000000,""))</f>
        <v/>
      </c>
      <c r="M132" t="n">
        <v>131</v>
      </c>
      <c r="N132">
        <f>IF(M132&gt;ROWS(avaliacoes_cursos[curso]),"",INDEX(avaliacoes_cursos[curso],M132))</f>
        <v/>
      </c>
      <c r="O132">
        <f>IF(N132="","",INDEX(avaliacoes_cursos[escola],M132))</f>
        <v/>
      </c>
      <c r="P132">
        <f>IF(N132="","",INDEX(avaliacoes_cursos[Nota média],M132))</f>
        <v/>
      </c>
      <c r="Q132">
        <f>IF(N132="","",IF(COUNTIF(avaliacoes_cursos[curso],N132)&gt;1,N132&amp;" — "&amp;O132,N132))</f>
        <v/>
      </c>
      <c r="R132">
        <f>IF(P132="","",P132+(1000-M132)/10000000)</f>
        <v/>
      </c>
    </row>
    <row r="133">
      <c r="A133" t="n">
        <v>132</v>
      </c>
      <c r="B133">
        <f>IF(A133&gt;ROWS(avaliacoes_qualidade[escola]),"",INDEX(avaliacoes_qualidade[escola],A133))</f>
        <v/>
      </c>
      <c r="C133">
        <f>IF(B133="","",INDEX(avaliacoes_qualidade[Nota média],A133))</f>
        <v/>
      </c>
      <c r="D133">
        <f>IF(B133="","",INDEX(avaliacoes_qualidade[Avaliações],A133))</f>
        <v/>
      </c>
      <c r="E133">
        <f>IF(B133="","",IFERROR(INDEX(escolas[Column1.tipo],MATCH(B133,escolas[Column1.nome],0)),"—"))</f>
        <v/>
      </c>
      <c r="F133">
        <f>IF(B133="","",SUMPRODUCT(MAX((RIGHT(B133,LEN(enderecos_escolas[cidade])+1)=" "&amp;enderecos_escolas[cidade])*LEN(enderecos_escolas[cidade]))))</f>
        <v/>
      </c>
      <c r="G133">
        <f>IF(B133="","",IFERROR(INDEX(enderecos_escolas[estado],MATCH(1,INDEX((RIGHT(B133,LEN(enderecos_escolas[cidade])+1)=" "&amp;enderecos_escolas[cidade])*(LEN(enderecos_escolas[cidade])=F133),0),0)),"—"))</f>
        <v/>
      </c>
      <c r="H133">
        <f>IF(B133="","",IFERROR(VLOOKUP(G133,'Parâmetros'!$A$5:$B$31,2,FALSE),"Não localizada"))</f>
        <v/>
      </c>
      <c r="I133">
        <f>IF(B133="","",IFERROR(INDEX(enderecos_escolas[tipoLocalizacao],MATCH(1,INDEX((RIGHT(B133,LEN(enderecos_escolas[cidade])+1)=" "&amp;enderecos_escolas[cidade])*(LEN(enderecos_escolas[cidade])=F133),0),0)),"—"))</f>
        <v/>
      </c>
      <c r="K133">
        <f>IF(C133="","",IF(AND(OR('Ranking Escolas'!$F$4="Todas",H133='Ranking Escolas'!$F$4),OR('Ranking Escolas'!$I$4="Todos",E133='Ranking Escolas'!$I$4)),C133+(1000-A133)/10000000,""))</f>
        <v/>
      </c>
      <c r="M133" t="n">
        <v>132</v>
      </c>
      <c r="N133">
        <f>IF(M133&gt;ROWS(avaliacoes_cursos[curso]),"",INDEX(avaliacoes_cursos[curso],M133))</f>
        <v/>
      </c>
      <c r="O133">
        <f>IF(N133="","",INDEX(avaliacoes_cursos[escola],M133))</f>
        <v/>
      </c>
      <c r="P133">
        <f>IF(N133="","",INDEX(avaliacoes_cursos[Nota média],M133))</f>
        <v/>
      </c>
      <c r="Q133">
        <f>IF(N133="","",IF(COUNTIF(avaliacoes_cursos[curso],N133)&gt;1,N133&amp;" — "&amp;O133,N133))</f>
        <v/>
      </c>
      <c r="R133">
        <f>IF(P133="","",P133+(1000-M133)/10000000)</f>
        <v/>
      </c>
    </row>
    <row r="134">
      <c r="A134" t="n">
        <v>133</v>
      </c>
      <c r="B134">
        <f>IF(A134&gt;ROWS(avaliacoes_qualidade[escola]),"",INDEX(avaliacoes_qualidade[escola],A134))</f>
        <v/>
      </c>
      <c r="C134">
        <f>IF(B134="","",INDEX(avaliacoes_qualidade[Nota média],A134))</f>
        <v/>
      </c>
      <c r="D134">
        <f>IF(B134="","",INDEX(avaliacoes_qualidade[Avaliações],A134))</f>
        <v/>
      </c>
      <c r="E134">
        <f>IF(B134="","",IFERROR(INDEX(escolas[Column1.tipo],MATCH(B134,escolas[Column1.nome],0)),"—"))</f>
        <v/>
      </c>
      <c r="F134">
        <f>IF(B134="","",SUMPRODUCT(MAX((RIGHT(B134,LEN(enderecos_escolas[cidade])+1)=" "&amp;enderecos_escolas[cidade])*LEN(enderecos_escolas[cidade]))))</f>
        <v/>
      </c>
      <c r="G134">
        <f>IF(B134="","",IFERROR(INDEX(enderecos_escolas[estado],MATCH(1,INDEX((RIGHT(B134,LEN(enderecos_escolas[cidade])+1)=" "&amp;enderecos_escolas[cidade])*(LEN(enderecos_escolas[cidade])=F134),0),0)),"—"))</f>
        <v/>
      </c>
      <c r="H134">
        <f>IF(B134="","",IFERROR(VLOOKUP(G134,'Parâmetros'!$A$5:$B$31,2,FALSE),"Não localizada"))</f>
        <v/>
      </c>
      <c r="I134">
        <f>IF(B134="","",IFERROR(INDEX(enderecos_escolas[tipoLocalizacao],MATCH(1,INDEX((RIGHT(B134,LEN(enderecos_escolas[cidade])+1)=" "&amp;enderecos_escolas[cidade])*(LEN(enderecos_escolas[cidade])=F134),0),0)),"—"))</f>
        <v/>
      </c>
      <c r="K134">
        <f>IF(C134="","",IF(AND(OR('Ranking Escolas'!$F$4="Todas",H134='Ranking Escolas'!$F$4),OR('Ranking Escolas'!$I$4="Todos",E134='Ranking Escolas'!$I$4)),C134+(1000-A134)/10000000,""))</f>
        <v/>
      </c>
      <c r="M134" t="n">
        <v>133</v>
      </c>
      <c r="N134">
        <f>IF(M134&gt;ROWS(avaliacoes_cursos[curso]),"",INDEX(avaliacoes_cursos[curso],M134))</f>
        <v/>
      </c>
      <c r="O134">
        <f>IF(N134="","",INDEX(avaliacoes_cursos[escola],M134))</f>
        <v/>
      </c>
      <c r="P134">
        <f>IF(N134="","",INDEX(avaliacoes_cursos[Nota média],M134))</f>
        <v/>
      </c>
      <c r="Q134">
        <f>IF(N134="","",IF(COUNTIF(avaliacoes_cursos[curso],N134)&gt;1,N134&amp;" — "&amp;O134,N134))</f>
        <v/>
      </c>
      <c r="R134">
        <f>IF(P134="","",P134+(1000-M134)/10000000)</f>
        <v/>
      </c>
    </row>
    <row r="135">
      <c r="A135" t="n">
        <v>134</v>
      </c>
      <c r="B135">
        <f>IF(A135&gt;ROWS(avaliacoes_qualidade[escola]),"",INDEX(avaliacoes_qualidade[escola],A135))</f>
        <v/>
      </c>
      <c r="C135">
        <f>IF(B135="","",INDEX(avaliacoes_qualidade[Nota média],A135))</f>
        <v/>
      </c>
      <c r="D135">
        <f>IF(B135="","",INDEX(avaliacoes_qualidade[Avaliações],A135))</f>
        <v/>
      </c>
      <c r="E135">
        <f>IF(B135="","",IFERROR(INDEX(escolas[Column1.tipo],MATCH(B135,escolas[Column1.nome],0)),"—"))</f>
        <v/>
      </c>
      <c r="F135">
        <f>IF(B135="","",SUMPRODUCT(MAX((RIGHT(B135,LEN(enderecos_escolas[cidade])+1)=" "&amp;enderecos_escolas[cidade])*LEN(enderecos_escolas[cidade]))))</f>
        <v/>
      </c>
      <c r="G135">
        <f>IF(B135="","",IFERROR(INDEX(enderecos_escolas[estado],MATCH(1,INDEX((RIGHT(B135,LEN(enderecos_escolas[cidade])+1)=" "&amp;enderecos_escolas[cidade])*(LEN(enderecos_escolas[cidade])=F135),0),0)),"—"))</f>
        <v/>
      </c>
      <c r="H135">
        <f>IF(B135="","",IFERROR(VLOOKUP(G135,'Parâmetros'!$A$5:$B$31,2,FALSE),"Não localizada"))</f>
        <v/>
      </c>
      <c r="I135">
        <f>IF(B135="","",IFERROR(INDEX(enderecos_escolas[tipoLocalizacao],MATCH(1,INDEX((RIGHT(B135,LEN(enderecos_escolas[cidade])+1)=" "&amp;enderecos_escolas[cidade])*(LEN(enderecos_escolas[cidade])=F135),0),0)),"—"))</f>
        <v/>
      </c>
      <c r="K135">
        <f>IF(C135="","",IF(AND(OR('Ranking Escolas'!$F$4="Todas",H135='Ranking Escolas'!$F$4),OR('Ranking Escolas'!$I$4="Todos",E135='Ranking Escolas'!$I$4)),C135+(1000-A135)/10000000,""))</f>
        <v/>
      </c>
      <c r="M135" t="n">
        <v>134</v>
      </c>
      <c r="N135">
        <f>IF(M135&gt;ROWS(avaliacoes_cursos[curso]),"",INDEX(avaliacoes_cursos[curso],M135))</f>
        <v/>
      </c>
      <c r="O135">
        <f>IF(N135="","",INDEX(avaliacoes_cursos[escola],M135))</f>
        <v/>
      </c>
      <c r="P135">
        <f>IF(N135="","",INDEX(avaliacoes_cursos[Nota média],M135))</f>
        <v/>
      </c>
      <c r="Q135">
        <f>IF(N135="","",IF(COUNTIF(avaliacoes_cursos[curso],N135)&gt;1,N135&amp;" — "&amp;O135,N135))</f>
        <v/>
      </c>
      <c r="R135">
        <f>IF(P135="","",P135+(1000-M135)/10000000)</f>
        <v/>
      </c>
    </row>
    <row r="136">
      <c r="A136" t="n">
        <v>135</v>
      </c>
      <c r="B136">
        <f>IF(A136&gt;ROWS(avaliacoes_qualidade[escola]),"",INDEX(avaliacoes_qualidade[escola],A136))</f>
        <v/>
      </c>
      <c r="C136">
        <f>IF(B136="","",INDEX(avaliacoes_qualidade[Nota média],A136))</f>
        <v/>
      </c>
      <c r="D136">
        <f>IF(B136="","",INDEX(avaliacoes_qualidade[Avaliações],A136))</f>
        <v/>
      </c>
      <c r="E136">
        <f>IF(B136="","",IFERROR(INDEX(escolas[Column1.tipo],MATCH(B136,escolas[Column1.nome],0)),"—"))</f>
        <v/>
      </c>
      <c r="F136">
        <f>IF(B136="","",SUMPRODUCT(MAX((RIGHT(B136,LEN(enderecos_escolas[cidade])+1)=" "&amp;enderecos_escolas[cidade])*LEN(enderecos_escolas[cidade]))))</f>
        <v/>
      </c>
      <c r="G136">
        <f>IF(B136="","",IFERROR(INDEX(enderecos_escolas[estado],MATCH(1,INDEX((RIGHT(B136,LEN(enderecos_escolas[cidade])+1)=" "&amp;enderecos_escolas[cidade])*(LEN(enderecos_escolas[cidade])=F136),0),0)),"—"))</f>
        <v/>
      </c>
      <c r="H136">
        <f>IF(B136="","",IFERROR(VLOOKUP(G136,'Parâmetros'!$A$5:$B$31,2,FALSE),"Não localizada"))</f>
        <v/>
      </c>
      <c r="I136">
        <f>IF(B136="","",IFERROR(INDEX(enderecos_escolas[tipoLocalizacao],MATCH(1,INDEX((RIGHT(B136,LEN(enderecos_escolas[cidade])+1)=" "&amp;enderecos_escolas[cidade])*(LEN(enderecos_escolas[cidade])=F136),0),0)),"—"))</f>
        <v/>
      </c>
      <c r="K136">
        <f>IF(C136="","",IF(AND(OR('Ranking Escolas'!$F$4="Todas",H136='Ranking Escolas'!$F$4),OR('Ranking Escolas'!$I$4="Todos",E136='Ranking Escolas'!$I$4)),C136+(1000-A136)/10000000,""))</f>
        <v/>
      </c>
      <c r="M136" t="n">
        <v>135</v>
      </c>
      <c r="N136">
        <f>IF(M136&gt;ROWS(avaliacoes_cursos[curso]),"",INDEX(avaliacoes_cursos[curso],M136))</f>
        <v/>
      </c>
      <c r="O136">
        <f>IF(N136="","",INDEX(avaliacoes_cursos[escola],M136))</f>
        <v/>
      </c>
      <c r="P136">
        <f>IF(N136="","",INDEX(avaliacoes_cursos[Nota média],M136))</f>
        <v/>
      </c>
      <c r="Q136">
        <f>IF(N136="","",IF(COUNTIF(avaliacoes_cursos[curso],N136)&gt;1,N136&amp;" — "&amp;O136,N136))</f>
        <v/>
      </c>
      <c r="R136">
        <f>IF(P136="","",P136+(1000-M136)/10000000)</f>
        <v/>
      </c>
    </row>
    <row r="137">
      <c r="A137" t="n">
        <v>136</v>
      </c>
      <c r="B137">
        <f>IF(A137&gt;ROWS(avaliacoes_qualidade[escola]),"",INDEX(avaliacoes_qualidade[escola],A137))</f>
        <v/>
      </c>
      <c r="C137">
        <f>IF(B137="","",INDEX(avaliacoes_qualidade[Nota média],A137))</f>
        <v/>
      </c>
      <c r="D137">
        <f>IF(B137="","",INDEX(avaliacoes_qualidade[Avaliações],A137))</f>
        <v/>
      </c>
      <c r="E137">
        <f>IF(B137="","",IFERROR(INDEX(escolas[Column1.tipo],MATCH(B137,escolas[Column1.nome],0)),"—"))</f>
        <v/>
      </c>
      <c r="F137">
        <f>IF(B137="","",SUMPRODUCT(MAX((RIGHT(B137,LEN(enderecos_escolas[cidade])+1)=" "&amp;enderecos_escolas[cidade])*LEN(enderecos_escolas[cidade]))))</f>
        <v/>
      </c>
      <c r="G137">
        <f>IF(B137="","",IFERROR(INDEX(enderecos_escolas[estado],MATCH(1,INDEX((RIGHT(B137,LEN(enderecos_escolas[cidade])+1)=" "&amp;enderecos_escolas[cidade])*(LEN(enderecos_escolas[cidade])=F137),0),0)),"—"))</f>
        <v/>
      </c>
      <c r="H137">
        <f>IF(B137="","",IFERROR(VLOOKUP(G137,'Parâmetros'!$A$5:$B$31,2,FALSE),"Não localizada"))</f>
        <v/>
      </c>
      <c r="I137">
        <f>IF(B137="","",IFERROR(INDEX(enderecos_escolas[tipoLocalizacao],MATCH(1,INDEX((RIGHT(B137,LEN(enderecos_escolas[cidade])+1)=" "&amp;enderecos_escolas[cidade])*(LEN(enderecos_escolas[cidade])=F137),0),0)),"—"))</f>
        <v/>
      </c>
      <c r="K137">
        <f>IF(C137="","",IF(AND(OR('Ranking Escolas'!$F$4="Todas",H137='Ranking Escolas'!$F$4),OR('Ranking Escolas'!$I$4="Todos",E137='Ranking Escolas'!$I$4)),C137+(1000-A137)/10000000,""))</f>
        <v/>
      </c>
      <c r="M137" t="n">
        <v>136</v>
      </c>
      <c r="N137">
        <f>IF(M137&gt;ROWS(avaliacoes_cursos[curso]),"",INDEX(avaliacoes_cursos[curso],M137))</f>
        <v/>
      </c>
      <c r="O137">
        <f>IF(N137="","",INDEX(avaliacoes_cursos[escola],M137))</f>
        <v/>
      </c>
      <c r="P137">
        <f>IF(N137="","",INDEX(avaliacoes_cursos[Nota média],M137))</f>
        <v/>
      </c>
      <c r="Q137">
        <f>IF(N137="","",IF(COUNTIF(avaliacoes_cursos[curso],N137)&gt;1,N137&amp;" — "&amp;O137,N137))</f>
        <v/>
      </c>
      <c r="R137">
        <f>IF(P137="","",P137+(1000-M137)/10000000)</f>
        <v/>
      </c>
    </row>
    <row r="138">
      <c r="A138" t="n">
        <v>137</v>
      </c>
      <c r="B138">
        <f>IF(A138&gt;ROWS(avaliacoes_qualidade[escola]),"",INDEX(avaliacoes_qualidade[escola],A138))</f>
        <v/>
      </c>
      <c r="C138">
        <f>IF(B138="","",INDEX(avaliacoes_qualidade[Nota média],A138))</f>
        <v/>
      </c>
      <c r="D138">
        <f>IF(B138="","",INDEX(avaliacoes_qualidade[Avaliações],A138))</f>
        <v/>
      </c>
      <c r="E138">
        <f>IF(B138="","",IFERROR(INDEX(escolas[Column1.tipo],MATCH(B138,escolas[Column1.nome],0)),"—"))</f>
        <v/>
      </c>
      <c r="F138">
        <f>IF(B138="","",SUMPRODUCT(MAX((RIGHT(B138,LEN(enderecos_escolas[cidade])+1)=" "&amp;enderecos_escolas[cidade])*LEN(enderecos_escolas[cidade]))))</f>
        <v/>
      </c>
      <c r="G138">
        <f>IF(B138="","",IFERROR(INDEX(enderecos_escolas[estado],MATCH(1,INDEX((RIGHT(B138,LEN(enderecos_escolas[cidade])+1)=" "&amp;enderecos_escolas[cidade])*(LEN(enderecos_escolas[cidade])=F138),0),0)),"—"))</f>
        <v/>
      </c>
      <c r="H138">
        <f>IF(B138="","",IFERROR(VLOOKUP(G138,'Parâmetros'!$A$5:$B$31,2,FALSE),"Não localizada"))</f>
        <v/>
      </c>
      <c r="I138">
        <f>IF(B138="","",IFERROR(INDEX(enderecos_escolas[tipoLocalizacao],MATCH(1,INDEX((RIGHT(B138,LEN(enderecos_escolas[cidade])+1)=" "&amp;enderecos_escolas[cidade])*(LEN(enderecos_escolas[cidade])=F138),0),0)),"—"))</f>
        <v/>
      </c>
      <c r="K138">
        <f>IF(C138="","",IF(AND(OR('Ranking Escolas'!$F$4="Todas",H138='Ranking Escolas'!$F$4),OR('Ranking Escolas'!$I$4="Todos",E138='Ranking Escolas'!$I$4)),C138+(1000-A138)/10000000,""))</f>
        <v/>
      </c>
      <c r="M138" t="n">
        <v>137</v>
      </c>
      <c r="N138">
        <f>IF(M138&gt;ROWS(avaliacoes_cursos[curso]),"",INDEX(avaliacoes_cursos[curso],M138))</f>
        <v/>
      </c>
      <c r="O138">
        <f>IF(N138="","",INDEX(avaliacoes_cursos[escola],M138))</f>
        <v/>
      </c>
      <c r="P138">
        <f>IF(N138="","",INDEX(avaliacoes_cursos[Nota média],M138))</f>
        <v/>
      </c>
      <c r="Q138">
        <f>IF(N138="","",IF(COUNTIF(avaliacoes_cursos[curso],N138)&gt;1,N138&amp;" — "&amp;O138,N138))</f>
        <v/>
      </c>
      <c r="R138">
        <f>IF(P138="","",P138+(1000-M138)/10000000)</f>
        <v/>
      </c>
    </row>
    <row r="139">
      <c r="A139" t="n">
        <v>138</v>
      </c>
      <c r="B139">
        <f>IF(A139&gt;ROWS(avaliacoes_qualidade[escola]),"",INDEX(avaliacoes_qualidade[escola],A139))</f>
        <v/>
      </c>
      <c r="C139">
        <f>IF(B139="","",INDEX(avaliacoes_qualidade[Nota média],A139))</f>
        <v/>
      </c>
      <c r="D139">
        <f>IF(B139="","",INDEX(avaliacoes_qualidade[Avaliações],A139))</f>
        <v/>
      </c>
      <c r="E139">
        <f>IF(B139="","",IFERROR(INDEX(escolas[Column1.tipo],MATCH(B139,escolas[Column1.nome],0)),"—"))</f>
        <v/>
      </c>
      <c r="F139">
        <f>IF(B139="","",SUMPRODUCT(MAX((RIGHT(B139,LEN(enderecos_escolas[cidade])+1)=" "&amp;enderecos_escolas[cidade])*LEN(enderecos_escolas[cidade]))))</f>
        <v/>
      </c>
      <c r="G139">
        <f>IF(B139="","",IFERROR(INDEX(enderecos_escolas[estado],MATCH(1,INDEX((RIGHT(B139,LEN(enderecos_escolas[cidade])+1)=" "&amp;enderecos_escolas[cidade])*(LEN(enderecos_escolas[cidade])=F139),0),0)),"—"))</f>
        <v/>
      </c>
      <c r="H139">
        <f>IF(B139="","",IFERROR(VLOOKUP(G139,'Parâmetros'!$A$5:$B$31,2,FALSE),"Não localizada"))</f>
        <v/>
      </c>
      <c r="I139">
        <f>IF(B139="","",IFERROR(INDEX(enderecos_escolas[tipoLocalizacao],MATCH(1,INDEX((RIGHT(B139,LEN(enderecos_escolas[cidade])+1)=" "&amp;enderecos_escolas[cidade])*(LEN(enderecos_escolas[cidade])=F139),0),0)),"—"))</f>
        <v/>
      </c>
      <c r="K139">
        <f>IF(C139="","",IF(AND(OR('Ranking Escolas'!$F$4="Todas",H139='Ranking Escolas'!$F$4),OR('Ranking Escolas'!$I$4="Todos",E139='Ranking Escolas'!$I$4)),C139+(1000-A139)/10000000,""))</f>
        <v/>
      </c>
      <c r="M139" t="n">
        <v>138</v>
      </c>
      <c r="N139">
        <f>IF(M139&gt;ROWS(avaliacoes_cursos[curso]),"",INDEX(avaliacoes_cursos[curso],M139))</f>
        <v/>
      </c>
      <c r="O139">
        <f>IF(N139="","",INDEX(avaliacoes_cursos[escola],M139))</f>
        <v/>
      </c>
      <c r="P139">
        <f>IF(N139="","",INDEX(avaliacoes_cursos[Nota média],M139))</f>
        <v/>
      </c>
      <c r="Q139">
        <f>IF(N139="","",IF(COUNTIF(avaliacoes_cursos[curso],N139)&gt;1,N139&amp;" — "&amp;O139,N139))</f>
        <v/>
      </c>
      <c r="R139">
        <f>IF(P139="","",P139+(1000-M139)/10000000)</f>
        <v/>
      </c>
    </row>
    <row r="140">
      <c r="A140" t="n">
        <v>139</v>
      </c>
      <c r="B140">
        <f>IF(A140&gt;ROWS(avaliacoes_qualidade[escola]),"",INDEX(avaliacoes_qualidade[escola],A140))</f>
        <v/>
      </c>
      <c r="C140">
        <f>IF(B140="","",INDEX(avaliacoes_qualidade[Nota média],A140))</f>
        <v/>
      </c>
      <c r="D140">
        <f>IF(B140="","",INDEX(avaliacoes_qualidade[Avaliações],A140))</f>
        <v/>
      </c>
      <c r="E140">
        <f>IF(B140="","",IFERROR(INDEX(escolas[Column1.tipo],MATCH(B140,escolas[Column1.nome],0)),"—"))</f>
        <v/>
      </c>
      <c r="F140">
        <f>IF(B140="","",SUMPRODUCT(MAX((RIGHT(B140,LEN(enderecos_escolas[cidade])+1)=" "&amp;enderecos_escolas[cidade])*LEN(enderecos_escolas[cidade]))))</f>
        <v/>
      </c>
      <c r="G140">
        <f>IF(B140="","",IFERROR(INDEX(enderecos_escolas[estado],MATCH(1,INDEX((RIGHT(B140,LEN(enderecos_escolas[cidade])+1)=" "&amp;enderecos_escolas[cidade])*(LEN(enderecos_escolas[cidade])=F140),0),0)),"—"))</f>
        <v/>
      </c>
      <c r="H140">
        <f>IF(B140="","",IFERROR(VLOOKUP(G140,'Parâmetros'!$A$5:$B$31,2,FALSE),"Não localizada"))</f>
        <v/>
      </c>
      <c r="I140">
        <f>IF(B140="","",IFERROR(INDEX(enderecos_escolas[tipoLocalizacao],MATCH(1,INDEX((RIGHT(B140,LEN(enderecos_escolas[cidade])+1)=" "&amp;enderecos_escolas[cidade])*(LEN(enderecos_escolas[cidade])=F140),0),0)),"—"))</f>
        <v/>
      </c>
      <c r="K140">
        <f>IF(C140="","",IF(AND(OR('Ranking Escolas'!$F$4="Todas",H140='Ranking Escolas'!$F$4),OR('Ranking Escolas'!$I$4="Todos",E140='Ranking Escolas'!$I$4)),C140+(1000-A140)/10000000,""))</f>
        <v/>
      </c>
      <c r="M140" t="n">
        <v>139</v>
      </c>
      <c r="N140">
        <f>IF(M140&gt;ROWS(avaliacoes_cursos[curso]),"",INDEX(avaliacoes_cursos[curso],M140))</f>
        <v/>
      </c>
      <c r="O140">
        <f>IF(N140="","",INDEX(avaliacoes_cursos[escola],M140))</f>
        <v/>
      </c>
      <c r="P140">
        <f>IF(N140="","",INDEX(avaliacoes_cursos[Nota média],M140))</f>
        <v/>
      </c>
      <c r="Q140">
        <f>IF(N140="","",IF(COUNTIF(avaliacoes_cursos[curso],N140)&gt;1,N140&amp;" — "&amp;O140,N140))</f>
        <v/>
      </c>
      <c r="R140">
        <f>IF(P140="","",P140+(1000-M140)/10000000)</f>
        <v/>
      </c>
    </row>
    <row r="141">
      <c r="A141" t="n">
        <v>140</v>
      </c>
      <c r="B141">
        <f>IF(A141&gt;ROWS(avaliacoes_qualidade[escola]),"",INDEX(avaliacoes_qualidade[escola],A141))</f>
        <v/>
      </c>
      <c r="C141">
        <f>IF(B141="","",INDEX(avaliacoes_qualidade[Nota média],A141))</f>
        <v/>
      </c>
      <c r="D141">
        <f>IF(B141="","",INDEX(avaliacoes_qualidade[Avaliações],A141))</f>
        <v/>
      </c>
      <c r="E141">
        <f>IF(B141="","",IFERROR(INDEX(escolas[Column1.tipo],MATCH(B141,escolas[Column1.nome],0)),"—"))</f>
        <v/>
      </c>
      <c r="F141">
        <f>IF(B141="","",SUMPRODUCT(MAX((RIGHT(B141,LEN(enderecos_escolas[cidade])+1)=" "&amp;enderecos_escolas[cidade])*LEN(enderecos_escolas[cidade]))))</f>
        <v/>
      </c>
      <c r="G141">
        <f>IF(B141="","",IFERROR(INDEX(enderecos_escolas[estado],MATCH(1,INDEX((RIGHT(B141,LEN(enderecos_escolas[cidade])+1)=" "&amp;enderecos_escolas[cidade])*(LEN(enderecos_escolas[cidade])=F141),0),0)),"—"))</f>
        <v/>
      </c>
      <c r="H141">
        <f>IF(B141="","",IFERROR(VLOOKUP(G141,'Parâmetros'!$A$5:$B$31,2,FALSE),"Não localizada"))</f>
        <v/>
      </c>
      <c r="I141">
        <f>IF(B141="","",IFERROR(INDEX(enderecos_escolas[tipoLocalizacao],MATCH(1,INDEX((RIGHT(B141,LEN(enderecos_escolas[cidade])+1)=" "&amp;enderecos_escolas[cidade])*(LEN(enderecos_escolas[cidade])=F141),0),0)),"—"))</f>
        <v/>
      </c>
      <c r="K141">
        <f>IF(C141="","",IF(AND(OR('Ranking Escolas'!$F$4="Todas",H141='Ranking Escolas'!$F$4),OR('Ranking Escolas'!$I$4="Todos",E141='Ranking Escolas'!$I$4)),C141+(1000-A141)/10000000,""))</f>
        <v/>
      </c>
      <c r="M141" t="n">
        <v>140</v>
      </c>
      <c r="N141">
        <f>IF(M141&gt;ROWS(avaliacoes_cursos[curso]),"",INDEX(avaliacoes_cursos[curso],M141))</f>
        <v/>
      </c>
      <c r="O141">
        <f>IF(N141="","",INDEX(avaliacoes_cursos[escola],M141))</f>
        <v/>
      </c>
      <c r="P141">
        <f>IF(N141="","",INDEX(avaliacoes_cursos[Nota média],M141))</f>
        <v/>
      </c>
      <c r="Q141">
        <f>IF(N141="","",IF(COUNTIF(avaliacoes_cursos[curso],N141)&gt;1,N141&amp;" — "&amp;O141,N141))</f>
        <v/>
      </c>
      <c r="R141">
        <f>IF(P141="","",P141+(1000-M141)/10000000)</f>
        <v/>
      </c>
    </row>
    <row r="142">
      <c r="A142" t="n">
        <v>141</v>
      </c>
      <c r="B142">
        <f>IF(A142&gt;ROWS(avaliacoes_qualidade[escola]),"",INDEX(avaliacoes_qualidade[escola],A142))</f>
        <v/>
      </c>
      <c r="C142">
        <f>IF(B142="","",INDEX(avaliacoes_qualidade[Nota média],A142))</f>
        <v/>
      </c>
      <c r="D142">
        <f>IF(B142="","",INDEX(avaliacoes_qualidade[Avaliações],A142))</f>
        <v/>
      </c>
      <c r="E142">
        <f>IF(B142="","",IFERROR(INDEX(escolas[Column1.tipo],MATCH(B142,escolas[Column1.nome],0)),"—"))</f>
        <v/>
      </c>
      <c r="F142">
        <f>IF(B142="","",SUMPRODUCT(MAX((RIGHT(B142,LEN(enderecos_escolas[cidade])+1)=" "&amp;enderecos_escolas[cidade])*LEN(enderecos_escolas[cidade]))))</f>
        <v/>
      </c>
      <c r="G142">
        <f>IF(B142="","",IFERROR(INDEX(enderecos_escolas[estado],MATCH(1,INDEX((RIGHT(B142,LEN(enderecos_escolas[cidade])+1)=" "&amp;enderecos_escolas[cidade])*(LEN(enderecos_escolas[cidade])=F142),0),0)),"—"))</f>
        <v/>
      </c>
      <c r="H142">
        <f>IF(B142="","",IFERROR(VLOOKUP(G142,'Parâmetros'!$A$5:$B$31,2,FALSE),"Não localizada"))</f>
        <v/>
      </c>
      <c r="I142">
        <f>IF(B142="","",IFERROR(INDEX(enderecos_escolas[tipoLocalizacao],MATCH(1,INDEX((RIGHT(B142,LEN(enderecos_escolas[cidade])+1)=" "&amp;enderecos_escolas[cidade])*(LEN(enderecos_escolas[cidade])=F142),0),0)),"—"))</f>
        <v/>
      </c>
      <c r="K142">
        <f>IF(C142="","",IF(AND(OR('Ranking Escolas'!$F$4="Todas",H142='Ranking Escolas'!$F$4),OR('Ranking Escolas'!$I$4="Todos",E142='Ranking Escolas'!$I$4)),C142+(1000-A142)/10000000,""))</f>
        <v/>
      </c>
      <c r="M142" t="n">
        <v>141</v>
      </c>
      <c r="N142">
        <f>IF(M142&gt;ROWS(avaliacoes_cursos[curso]),"",INDEX(avaliacoes_cursos[curso],M142))</f>
        <v/>
      </c>
      <c r="O142">
        <f>IF(N142="","",INDEX(avaliacoes_cursos[escola],M142))</f>
        <v/>
      </c>
      <c r="P142">
        <f>IF(N142="","",INDEX(avaliacoes_cursos[Nota média],M142))</f>
        <v/>
      </c>
      <c r="Q142">
        <f>IF(N142="","",IF(COUNTIF(avaliacoes_cursos[curso],N142)&gt;1,N142&amp;" — "&amp;O142,N142))</f>
        <v/>
      </c>
      <c r="R142">
        <f>IF(P142="","",P142+(1000-M142)/10000000)</f>
        <v/>
      </c>
    </row>
    <row r="143">
      <c r="A143" t="n">
        <v>142</v>
      </c>
      <c r="B143">
        <f>IF(A143&gt;ROWS(avaliacoes_qualidade[escola]),"",INDEX(avaliacoes_qualidade[escola],A143))</f>
        <v/>
      </c>
      <c r="C143">
        <f>IF(B143="","",INDEX(avaliacoes_qualidade[Nota média],A143))</f>
        <v/>
      </c>
      <c r="D143">
        <f>IF(B143="","",INDEX(avaliacoes_qualidade[Avaliações],A143))</f>
        <v/>
      </c>
      <c r="E143">
        <f>IF(B143="","",IFERROR(INDEX(escolas[Column1.tipo],MATCH(B143,escolas[Column1.nome],0)),"—"))</f>
        <v/>
      </c>
      <c r="F143">
        <f>IF(B143="","",SUMPRODUCT(MAX((RIGHT(B143,LEN(enderecos_escolas[cidade])+1)=" "&amp;enderecos_escolas[cidade])*LEN(enderecos_escolas[cidade]))))</f>
        <v/>
      </c>
      <c r="G143">
        <f>IF(B143="","",IFERROR(INDEX(enderecos_escolas[estado],MATCH(1,INDEX((RIGHT(B143,LEN(enderecos_escolas[cidade])+1)=" "&amp;enderecos_escolas[cidade])*(LEN(enderecos_escolas[cidade])=F143),0),0)),"—"))</f>
        <v/>
      </c>
      <c r="H143">
        <f>IF(B143="","",IFERROR(VLOOKUP(G143,'Parâmetros'!$A$5:$B$31,2,FALSE),"Não localizada"))</f>
        <v/>
      </c>
      <c r="I143">
        <f>IF(B143="","",IFERROR(INDEX(enderecos_escolas[tipoLocalizacao],MATCH(1,INDEX((RIGHT(B143,LEN(enderecos_escolas[cidade])+1)=" "&amp;enderecos_escolas[cidade])*(LEN(enderecos_escolas[cidade])=F143),0),0)),"—"))</f>
        <v/>
      </c>
      <c r="K143">
        <f>IF(C143="","",IF(AND(OR('Ranking Escolas'!$F$4="Todas",H143='Ranking Escolas'!$F$4),OR('Ranking Escolas'!$I$4="Todos",E143='Ranking Escolas'!$I$4)),C143+(1000-A143)/10000000,""))</f>
        <v/>
      </c>
      <c r="M143" t="n">
        <v>142</v>
      </c>
      <c r="N143">
        <f>IF(M143&gt;ROWS(avaliacoes_cursos[curso]),"",INDEX(avaliacoes_cursos[curso],M143))</f>
        <v/>
      </c>
      <c r="O143">
        <f>IF(N143="","",INDEX(avaliacoes_cursos[escola],M143))</f>
        <v/>
      </c>
      <c r="P143">
        <f>IF(N143="","",INDEX(avaliacoes_cursos[Nota média],M143))</f>
        <v/>
      </c>
      <c r="Q143">
        <f>IF(N143="","",IF(COUNTIF(avaliacoes_cursos[curso],N143)&gt;1,N143&amp;" — "&amp;O143,N143))</f>
        <v/>
      </c>
      <c r="R143">
        <f>IF(P143="","",P143+(1000-M143)/10000000)</f>
        <v/>
      </c>
    </row>
    <row r="144">
      <c r="A144" t="n">
        <v>143</v>
      </c>
      <c r="B144">
        <f>IF(A144&gt;ROWS(avaliacoes_qualidade[escola]),"",INDEX(avaliacoes_qualidade[escola],A144))</f>
        <v/>
      </c>
      <c r="C144">
        <f>IF(B144="","",INDEX(avaliacoes_qualidade[Nota média],A144))</f>
        <v/>
      </c>
      <c r="D144">
        <f>IF(B144="","",INDEX(avaliacoes_qualidade[Avaliações],A144))</f>
        <v/>
      </c>
      <c r="E144">
        <f>IF(B144="","",IFERROR(INDEX(escolas[Column1.tipo],MATCH(B144,escolas[Column1.nome],0)),"—"))</f>
        <v/>
      </c>
      <c r="F144">
        <f>IF(B144="","",SUMPRODUCT(MAX((RIGHT(B144,LEN(enderecos_escolas[cidade])+1)=" "&amp;enderecos_escolas[cidade])*LEN(enderecos_escolas[cidade]))))</f>
        <v/>
      </c>
      <c r="G144">
        <f>IF(B144="","",IFERROR(INDEX(enderecos_escolas[estado],MATCH(1,INDEX((RIGHT(B144,LEN(enderecos_escolas[cidade])+1)=" "&amp;enderecos_escolas[cidade])*(LEN(enderecos_escolas[cidade])=F144),0),0)),"—"))</f>
        <v/>
      </c>
      <c r="H144">
        <f>IF(B144="","",IFERROR(VLOOKUP(G144,'Parâmetros'!$A$5:$B$31,2,FALSE),"Não localizada"))</f>
        <v/>
      </c>
      <c r="I144">
        <f>IF(B144="","",IFERROR(INDEX(enderecos_escolas[tipoLocalizacao],MATCH(1,INDEX((RIGHT(B144,LEN(enderecos_escolas[cidade])+1)=" "&amp;enderecos_escolas[cidade])*(LEN(enderecos_escolas[cidade])=F144),0),0)),"—"))</f>
        <v/>
      </c>
      <c r="K144">
        <f>IF(C144="","",IF(AND(OR('Ranking Escolas'!$F$4="Todas",H144='Ranking Escolas'!$F$4),OR('Ranking Escolas'!$I$4="Todos",E144='Ranking Escolas'!$I$4)),C144+(1000-A144)/10000000,""))</f>
        <v/>
      </c>
      <c r="M144" t="n">
        <v>143</v>
      </c>
      <c r="N144">
        <f>IF(M144&gt;ROWS(avaliacoes_cursos[curso]),"",INDEX(avaliacoes_cursos[curso],M144))</f>
        <v/>
      </c>
      <c r="O144">
        <f>IF(N144="","",INDEX(avaliacoes_cursos[escola],M144))</f>
        <v/>
      </c>
      <c r="P144">
        <f>IF(N144="","",INDEX(avaliacoes_cursos[Nota média],M144))</f>
        <v/>
      </c>
      <c r="Q144">
        <f>IF(N144="","",IF(COUNTIF(avaliacoes_cursos[curso],N144)&gt;1,N144&amp;" — "&amp;O144,N144))</f>
        <v/>
      </c>
      <c r="R144">
        <f>IF(P144="","",P144+(1000-M144)/10000000)</f>
        <v/>
      </c>
    </row>
    <row r="145">
      <c r="A145" t="n">
        <v>144</v>
      </c>
      <c r="B145">
        <f>IF(A145&gt;ROWS(avaliacoes_qualidade[escola]),"",INDEX(avaliacoes_qualidade[escola],A145))</f>
        <v/>
      </c>
      <c r="C145">
        <f>IF(B145="","",INDEX(avaliacoes_qualidade[Nota média],A145))</f>
        <v/>
      </c>
      <c r="D145">
        <f>IF(B145="","",INDEX(avaliacoes_qualidade[Avaliações],A145))</f>
        <v/>
      </c>
      <c r="E145">
        <f>IF(B145="","",IFERROR(INDEX(escolas[Column1.tipo],MATCH(B145,escolas[Column1.nome],0)),"—"))</f>
        <v/>
      </c>
      <c r="F145">
        <f>IF(B145="","",SUMPRODUCT(MAX((RIGHT(B145,LEN(enderecos_escolas[cidade])+1)=" "&amp;enderecos_escolas[cidade])*LEN(enderecos_escolas[cidade]))))</f>
        <v/>
      </c>
      <c r="G145">
        <f>IF(B145="","",IFERROR(INDEX(enderecos_escolas[estado],MATCH(1,INDEX((RIGHT(B145,LEN(enderecos_escolas[cidade])+1)=" "&amp;enderecos_escolas[cidade])*(LEN(enderecos_escolas[cidade])=F145),0),0)),"—"))</f>
        <v/>
      </c>
      <c r="H145">
        <f>IF(B145="","",IFERROR(VLOOKUP(G145,'Parâmetros'!$A$5:$B$31,2,FALSE),"Não localizada"))</f>
        <v/>
      </c>
      <c r="I145">
        <f>IF(B145="","",IFERROR(INDEX(enderecos_escolas[tipoLocalizacao],MATCH(1,INDEX((RIGHT(B145,LEN(enderecos_escolas[cidade])+1)=" "&amp;enderecos_escolas[cidade])*(LEN(enderecos_escolas[cidade])=F145),0),0)),"—"))</f>
        <v/>
      </c>
      <c r="K145">
        <f>IF(C145="","",IF(AND(OR('Ranking Escolas'!$F$4="Todas",H145='Ranking Escolas'!$F$4),OR('Ranking Escolas'!$I$4="Todos",E145='Ranking Escolas'!$I$4)),C145+(1000-A145)/10000000,""))</f>
        <v/>
      </c>
      <c r="M145" t="n">
        <v>144</v>
      </c>
      <c r="N145">
        <f>IF(M145&gt;ROWS(avaliacoes_cursos[curso]),"",INDEX(avaliacoes_cursos[curso],M145))</f>
        <v/>
      </c>
      <c r="O145">
        <f>IF(N145="","",INDEX(avaliacoes_cursos[escola],M145))</f>
        <v/>
      </c>
      <c r="P145">
        <f>IF(N145="","",INDEX(avaliacoes_cursos[Nota média],M145))</f>
        <v/>
      </c>
      <c r="Q145">
        <f>IF(N145="","",IF(COUNTIF(avaliacoes_cursos[curso],N145)&gt;1,N145&amp;" — "&amp;O145,N145))</f>
        <v/>
      </c>
      <c r="R145">
        <f>IF(P145="","",P145+(1000-M145)/10000000)</f>
        <v/>
      </c>
    </row>
    <row r="146">
      <c r="A146" t="n">
        <v>145</v>
      </c>
      <c r="B146">
        <f>IF(A146&gt;ROWS(avaliacoes_qualidade[escola]),"",INDEX(avaliacoes_qualidade[escola],A146))</f>
        <v/>
      </c>
      <c r="C146">
        <f>IF(B146="","",INDEX(avaliacoes_qualidade[Nota média],A146))</f>
        <v/>
      </c>
      <c r="D146">
        <f>IF(B146="","",INDEX(avaliacoes_qualidade[Avaliações],A146))</f>
        <v/>
      </c>
      <c r="E146">
        <f>IF(B146="","",IFERROR(INDEX(escolas[Column1.tipo],MATCH(B146,escolas[Column1.nome],0)),"—"))</f>
        <v/>
      </c>
      <c r="F146">
        <f>IF(B146="","",SUMPRODUCT(MAX((RIGHT(B146,LEN(enderecos_escolas[cidade])+1)=" "&amp;enderecos_escolas[cidade])*LEN(enderecos_escolas[cidade]))))</f>
        <v/>
      </c>
      <c r="G146">
        <f>IF(B146="","",IFERROR(INDEX(enderecos_escolas[estado],MATCH(1,INDEX((RIGHT(B146,LEN(enderecos_escolas[cidade])+1)=" "&amp;enderecos_escolas[cidade])*(LEN(enderecos_escolas[cidade])=F146),0),0)),"—"))</f>
        <v/>
      </c>
      <c r="H146">
        <f>IF(B146="","",IFERROR(VLOOKUP(G146,'Parâmetros'!$A$5:$B$31,2,FALSE),"Não localizada"))</f>
        <v/>
      </c>
      <c r="I146">
        <f>IF(B146="","",IFERROR(INDEX(enderecos_escolas[tipoLocalizacao],MATCH(1,INDEX((RIGHT(B146,LEN(enderecos_escolas[cidade])+1)=" "&amp;enderecos_escolas[cidade])*(LEN(enderecos_escolas[cidade])=F146),0),0)),"—"))</f>
        <v/>
      </c>
      <c r="K146">
        <f>IF(C146="","",IF(AND(OR('Ranking Escolas'!$F$4="Todas",H146='Ranking Escolas'!$F$4),OR('Ranking Escolas'!$I$4="Todos",E146='Ranking Escolas'!$I$4)),C146+(1000-A146)/10000000,""))</f>
        <v/>
      </c>
      <c r="M146" t="n">
        <v>145</v>
      </c>
      <c r="N146">
        <f>IF(M146&gt;ROWS(avaliacoes_cursos[curso]),"",INDEX(avaliacoes_cursos[curso],M146))</f>
        <v/>
      </c>
      <c r="O146">
        <f>IF(N146="","",INDEX(avaliacoes_cursos[escola],M146))</f>
        <v/>
      </c>
      <c r="P146">
        <f>IF(N146="","",INDEX(avaliacoes_cursos[Nota média],M146))</f>
        <v/>
      </c>
      <c r="Q146">
        <f>IF(N146="","",IF(COUNTIF(avaliacoes_cursos[curso],N146)&gt;1,N146&amp;" — "&amp;O146,N146))</f>
        <v/>
      </c>
      <c r="R146">
        <f>IF(P146="","",P146+(1000-M146)/10000000)</f>
        <v/>
      </c>
    </row>
    <row r="147">
      <c r="A147" t="n">
        <v>146</v>
      </c>
      <c r="B147">
        <f>IF(A147&gt;ROWS(avaliacoes_qualidade[escola]),"",INDEX(avaliacoes_qualidade[escola],A147))</f>
        <v/>
      </c>
      <c r="C147">
        <f>IF(B147="","",INDEX(avaliacoes_qualidade[Nota média],A147))</f>
        <v/>
      </c>
      <c r="D147">
        <f>IF(B147="","",INDEX(avaliacoes_qualidade[Avaliações],A147))</f>
        <v/>
      </c>
      <c r="E147">
        <f>IF(B147="","",IFERROR(INDEX(escolas[Column1.tipo],MATCH(B147,escolas[Column1.nome],0)),"—"))</f>
        <v/>
      </c>
      <c r="F147">
        <f>IF(B147="","",SUMPRODUCT(MAX((RIGHT(B147,LEN(enderecos_escolas[cidade])+1)=" "&amp;enderecos_escolas[cidade])*LEN(enderecos_escolas[cidade]))))</f>
        <v/>
      </c>
      <c r="G147">
        <f>IF(B147="","",IFERROR(INDEX(enderecos_escolas[estado],MATCH(1,INDEX((RIGHT(B147,LEN(enderecos_escolas[cidade])+1)=" "&amp;enderecos_escolas[cidade])*(LEN(enderecos_escolas[cidade])=F147),0),0)),"—"))</f>
        <v/>
      </c>
      <c r="H147">
        <f>IF(B147="","",IFERROR(VLOOKUP(G147,'Parâmetros'!$A$5:$B$31,2,FALSE),"Não localizada"))</f>
        <v/>
      </c>
      <c r="I147">
        <f>IF(B147="","",IFERROR(INDEX(enderecos_escolas[tipoLocalizacao],MATCH(1,INDEX((RIGHT(B147,LEN(enderecos_escolas[cidade])+1)=" "&amp;enderecos_escolas[cidade])*(LEN(enderecos_escolas[cidade])=F147),0),0)),"—"))</f>
        <v/>
      </c>
      <c r="K147">
        <f>IF(C147="","",IF(AND(OR('Ranking Escolas'!$F$4="Todas",H147='Ranking Escolas'!$F$4),OR('Ranking Escolas'!$I$4="Todos",E147='Ranking Escolas'!$I$4)),C147+(1000-A147)/10000000,""))</f>
        <v/>
      </c>
      <c r="M147" t="n">
        <v>146</v>
      </c>
      <c r="N147">
        <f>IF(M147&gt;ROWS(avaliacoes_cursos[curso]),"",INDEX(avaliacoes_cursos[curso],M147))</f>
        <v/>
      </c>
      <c r="O147">
        <f>IF(N147="","",INDEX(avaliacoes_cursos[escola],M147))</f>
        <v/>
      </c>
      <c r="P147">
        <f>IF(N147="","",INDEX(avaliacoes_cursos[Nota média],M147))</f>
        <v/>
      </c>
      <c r="Q147">
        <f>IF(N147="","",IF(COUNTIF(avaliacoes_cursos[curso],N147)&gt;1,N147&amp;" — "&amp;O147,N147))</f>
        <v/>
      </c>
      <c r="R147">
        <f>IF(P147="","",P147+(1000-M147)/10000000)</f>
        <v/>
      </c>
    </row>
    <row r="148">
      <c r="A148" t="n">
        <v>147</v>
      </c>
      <c r="B148">
        <f>IF(A148&gt;ROWS(avaliacoes_qualidade[escola]),"",INDEX(avaliacoes_qualidade[escola],A148))</f>
        <v/>
      </c>
      <c r="C148">
        <f>IF(B148="","",INDEX(avaliacoes_qualidade[Nota média],A148))</f>
        <v/>
      </c>
      <c r="D148">
        <f>IF(B148="","",INDEX(avaliacoes_qualidade[Avaliações],A148))</f>
        <v/>
      </c>
      <c r="E148">
        <f>IF(B148="","",IFERROR(INDEX(escolas[Column1.tipo],MATCH(B148,escolas[Column1.nome],0)),"—"))</f>
        <v/>
      </c>
      <c r="F148">
        <f>IF(B148="","",SUMPRODUCT(MAX((RIGHT(B148,LEN(enderecos_escolas[cidade])+1)=" "&amp;enderecos_escolas[cidade])*LEN(enderecos_escolas[cidade]))))</f>
        <v/>
      </c>
      <c r="G148">
        <f>IF(B148="","",IFERROR(INDEX(enderecos_escolas[estado],MATCH(1,INDEX((RIGHT(B148,LEN(enderecos_escolas[cidade])+1)=" "&amp;enderecos_escolas[cidade])*(LEN(enderecos_escolas[cidade])=F148),0),0)),"—"))</f>
        <v/>
      </c>
      <c r="H148">
        <f>IF(B148="","",IFERROR(VLOOKUP(G148,'Parâmetros'!$A$5:$B$31,2,FALSE),"Não localizada"))</f>
        <v/>
      </c>
      <c r="I148">
        <f>IF(B148="","",IFERROR(INDEX(enderecos_escolas[tipoLocalizacao],MATCH(1,INDEX((RIGHT(B148,LEN(enderecos_escolas[cidade])+1)=" "&amp;enderecos_escolas[cidade])*(LEN(enderecos_escolas[cidade])=F148),0),0)),"—"))</f>
        <v/>
      </c>
      <c r="K148">
        <f>IF(C148="","",IF(AND(OR('Ranking Escolas'!$F$4="Todas",H148='Ranking Escolas'!$F$4),OR('Ranking Escolas'!$I$4="Todos",E148='Ranking Escolas'!$I$4)),C148+(1000-A148)/10000000,""))</f>
        <v/>
      </c>
      <c r="M148" t="n">
        <v>147</v>
      </c>
      <c r="N148">
        <f>IF(M148&gt;ROWS(avaliacoes_cursos[curso]),"",INDEX(avaliacoes_cursos[curso],M148))</f>
        <v/>
      </c>
      <c r="O148">
        <f>IF(N148="","",INDEX(avaliacoes_cursos[escola],M148))</f>
        <v/>
      </c>
      <c r="P148">
        <f>IF(N148="","",INDEX(avaliacoes_cursos[Nota média],M148))</f>
        <v/>
      </c>
      <c r="Q148">
        <f>IF(N148="","",IF(COUNTIF(avaliacoes_cursos[curso],N148)&gt;1,N148&amp;" — "&amp;O148,N148))</f>
        <v/>
      </c>
      <c r="R148">
        <f>IF(P148="","",P148+(1000-M148)/10000000)</f>
        <v/>
      </c>
    </row>
    <row r="149">
      <c r="A149" t="n">
        <v>148</v>
      </c>
      <c r="B149">
        <f>IF(A149&gt;ROWS(avaliacoes_qualidade[escola]),"",INDEX(avaliacoes_qualidade[escola],A149))</f>
        <v/>
      </c>
      <c r="C149">
        <f>IF(B149="","",INDEX(avaliacoes_qualidade[Nota média],A149))</f>
        <v/>
      </c>
      <c r="D149">
        <f>IF(B149="","",INDEX(avaliacoes_qualidade[Avaliações],A149))</f>
        <v/>
      </c>
      <c r="E149">
        <f>IF(B149="","",IFERROR(INDEX(escolas[Column1.tipo],MATCH(B149,escolas[Column1.nome],0)),"—"))</f>
        <v/>
      </c>
      <c r="F149">
        <f>IF(B149="","",SUMPRODUCT(MAX((RIGHT(B149,LEN(enderecos_escolas[cidade])+1)=" "&amp;enderecos_escolas[cidade])*LEN(enderecos_escolas[cidade]))))</f>
        <v/>
      </c>
      <c r="G149">
        <f>IF(B149="","",IFERROR(INDEX(enderecos_escolas[estado],MATCH(1,INDEX((RIGHT(B149,LEN(enderecos_escolas[cidade])+1)=" "&amp;enderecos_escolas[cidade])*(LEN(enderecos_escolas[cidade])=F149),0),0)),"—"))</f>
        <v/>
      </c>
      <c r="H149">
        <f>IF(B149="","",IFERROR(VLOOKUP(G149,'Parâmetros'!$A$5:$B$31,2,FALSE),"Não localizada"))</f>
        <v/>
      </c>
      <c r="I149">
        <f>IF(B149="","",IFERROR(INDEX(enderecos_escolas[tipoLocalizacao],MATCH(1,INDEX((RIGHT(B149,LEN(enderecos_escolas[cidade])+1)=" "&amp;enderecos_escolas[cidade])*(LEN(enderecos_escolas[cidade])=F149),0),0)),"—"))</f>
        <v/>
      </c>
      <c r="K149">
        <f>IF(C149="","",IF(AND(OR('Ranking Escolas'!$F$4="Todas",H149='Ranking Escolas'!$F$4),OR('Ranking Escolas'!$I$4="Todos",E149='Ranking Escolas'!$I$4)),C149+(1000-A149)/10000000,""))</f>
        <v/>
      </c>
      <c r="M149" t="n">
        <v>148</v>
      </c>
      <c r="N149">
        <f>IF(M149&gt;ROWS(avaliacoes_cursos[curso]),"",INDEX(avaliacoes_cursos[curso],M149))</f>
        <v/>
      </c>
      <c r="O149">
        <f>IF(N149="","",INDEX(avaliacoes_cursos[escola],M149))</f>
        <v/>
      </c>
      <c r="P149">
        <f>IF(N149="","",INDEX(avaliacoes_cursos[Nota média],M149))</f>
        <v/>
      </c>
      <c r="Q149">
        <f>IF(N149="","",IF(COUNTIF(avaliacoes_cursos[curso],N149)&gt;1,N149&amp;" — "&amp;O149,N149))</f>
        <v/>
      </c>
      <c r="R149">
        <f>IF(P149="","",P149+(1000-M149)/10000000)</f>
        <v/>
      </c>
    </row>
    <row r="150">
      <c r="A150" t="n">
        <v>149</v>
      </c>
      <c r="B150">
        <f>IF(A150&gt;ROWS(avaliacoes_qualidade[escola]),"",INDEX(avaliacoes_qualidade[escola],A150))</f>
        <v/>
      </c>
      <c r="C150">
        <f>IF(B150="","",INDEX(avaliacoes_qualidade[Nota média],A150))</f>
        <v/>
      </c>
      <c r="D150">
        <f>IF(B150="","",INDEX(avaliacoes_qualidade[Avaliações],A150))</f>
        <v/>
      </c>
      <c r="E150">
        <f>IF(B150="","",IFERROR(INDEX(escolas[Column1.tipo],MATCH(B150,escolas[Column1.nome],0)),"—"))</f>
        <v/>
      </c>
      <c r="F150">
        <f>IF(B150="","",SUMPRODUCT(MAX((RIGHT(B150,LEN(enderecos_escolas[cidade])+1)=" "&amp;enderecos_escolas[cidade])*LEN(enderecos_escolas[cidade]))))</f>
        <v/>
      </c>
      <c r="G150">
        <f>IF(B150="","",IFERROR(INDEX(enderecos_escolas[estado],MATCH(1,INDEX((RIGHT(B150,LEN(enderecos_escolas[cidade])+1)=" "&amp;enderecos_escolas[cidade])*(LEN(enderecos_escolas[cidade])=F150),0),0)),"—"))</f>
        <v/>
      </c>
      <c r="H150">
        <f>IF(B150="","",IFERROR(VLOOKUP(G150,'Parâmetros'!$A$5:$B$31,2,FALSE),"Não localizada"))</f>
        <v/>
      </c>
      <c r="I150">
        <f>IF(B150="","",IFERROR(INDEX(enderecos_escolas[tipoLocalizacao],MATCH(1,INDEX((RIGHT(B150,LEN(enderecos_escolas[cidade])+1)=" "&amp;enderecos_escolas[cidade])*(LEN(enderecos_escolas[cidade])=F150),0),0)),"—"))</f>
        <v/>
      </c>
      <c r="K150">
        <f>IF(C150="","",IF(AND(OR('Ranking Escolas'!$F$4="Todas",H150='Ranking Escolas'!$F$4),OR('Ranking Escolas'!$I$4="Todos",E150='Ranking Escolas'!$I$4)),C150+(1000-A150)/10000000,""))</f>
        <v/>
      </c>
      <c r="M150" t="n">
        <v>149</v>
      </c>
      <c r="N150">
        <f>IF(M150&gt;ROWS(avaliacoes_cursos[curso]),"",INDEX(avaliacoes_cursos[curso],M150))</f>
        <v/>
      </c>
      <c r="O150">
        <f>IF(N150="","",INDEX(avaliacoes_cursos[escola],M150))</f>
        <v/>
      </c>
      <c r="P150">
        <f>IF(N150="","",INDEX(avaliacoes_cursos[Nota média],M150))</f>
        <v/>
      </c>
      <c r="Q150">
        <f>IF(N150="","",IF(COUNTIF(avaliacoes_cursos[curso],N150)&gt;1,N150&amp;" — "&amp;O150,N150))</f>
        <v/>
      </c>
      <c r="R150">
        <f>IF(P150="","",P150+(1000-M150)/10000000)</f>
        <v/>
      </c>
    </row>
    <row r="151">
      <c r="A151" t="n">
        <v>150</v>
      </c>
      <c r="B151">
        <f>IF(A151&gt;ROWS(avaliacoes_qualidade[escola]),"",INDEX(avaliacoes_qualidade[escola],A151))</f>
        <v/>
      </c>
      <c r="C151">
        <f>IF(B151="","",INDEX(avaliacoes_qualidade[Nota média],A151))</f>
        <v/>
      </c>
      <c r="D151">
        <f>IF(B151="","",INDEX(avaliacoes_qualidade[Avaliações],A151))</f>
        <v/>
      </c>
      <c r="E151">
        <f>IF(B151="","",IFERROR(INDEX(escolas[Column1.tipo],MATCH(B151,escolas[Column1.nome],0)),"—"))</f>
        <v/>
      </c>
      <c r="F151">
        <f>IF(B151="","",SUMPRODUCT(MAX((RIGHT(B151,LEN(enderecos_escolas[cidade])+1)=" "&amp;enderecos_escolas[cidade])*LEN(enderecos_escolas[cidade]))))</f>
        <v/>
      </c>
      <c r="G151">
        <f>IF(B151="","",IFERROR(INDEX(enderecos_escolas[estado],MATCH(1,INDEX((RIGHT(B151,LEN(enderecos_escolas[cidade])+1)=" "&amp;enderecos_escolas[cidade])*(LEN(enderecos_escolas[cidade])=F151),0),0)),"—"))</f>
        <v/>
      </c>
      <c r="H151">
        <f>IF(B151="","",IFERROR(VLOOKUP(G151,'Parâmetros'!$A$5:$B$31,2,FALSE),"Não localizada"))</f>
        <v/>
      </c>
      <c r="I151">
        <f>IF(B151="","",IFERROR(INDEX(enderecos_escolas[tipoLocalizacao],MATCH(1,INDEX((RIGHT(B151,LEN(enderecos_escolas[cidade])+1)=" "&amp;enderecos_escolas[cidade])*(LEN(enderecos_escolas[cidade])=F151),0),0)),"—"))</f>
        <v/>
      </c>
      <c r="K151">
        <f>IF(C151="","",IF(AND(OR('Ranking Escolas'!$F$4="Todas",H151='Ranking Escolas'!$F$4),OR('Ranking Escolas'!$I$4="Todos",E151='Ranking Escolas'!$I$4)),C151+(1000-A151)/10000000,""))</f>
        <v/>
      </c>
      <c r="M151" t="n">
        <v>150</v>
      </c>
      <c r="N151">
        <f>IF(M151&gt;ROWS(avaliacoes_cursos[curso]),"",INDEX(avaliacoes_cursos[curso],M151))</f>
        <v/>
      </c>
      <c r="O151">
        <f>IF(N151="","",INDEX(avaliacoes_cursos[escola],M151))</f>
        <v/>
      </c>
      <c r="P151">
        <f>IF(N151="","",INDEX(avaliacoes_cursos[Nota média],M151))</f>
        <v/>
      </c>
      <c r="Q151">
        <f>IF(N151="","",IF(COUNTIF(avaliacoes_cursos[curso],N151)&gt;1,N151&amp;" — "&amp;O151,N151))</f>
        <v/>
      </c>
      <c r="R151">
        <f>IF(P151="","",P151+(1000-M151)/10000000)</f>
        <v/>
      </c>
    </row>
    <row r="152">
      <c r="A152" t="n">
        <v>151</v>
      </c>
      <c r="B152">
        <f>IF(A152&gt;ROWS(avaliacoes_qualidade[escola]),"",INDEX(avaliacoes_qualidade[escola],A152))</f>
        <v/>
      </c>
      <c r="C152">
        <f>IF(B152="","",INDEX(avaliacoes_qualidade[Nota média],A152))</f>
        <v/>
      </c>
      <c r="D152">
        <f>IF(B152="","",INDEX(avaliacoes_qualidade[Avaliações],A152))</f>
        <v/>
      </c>
      <c r="E152">
        <f>IF(B152="","",IFERROR(INDEX(escolas[Column1.tipo],MATCH(B152,escolas[Column1.nome],0)),"—"))</f>
        <v/>
      </c>
      <c r="F152">
        <f>IF(B152="","",SUMPRODUCT(MAX((RIGHT(B152,LEN(enderecos_escolas[cidade])+1)=" "&amp;enderecos_escolas[cidade])*LEN(enderecos_escolas[cidade]))))</f>
        <v/>
      </c>
      <c r="G152">
        <f>IF(B152="","",IFERROR(INDEX(enderecos_escolas[estado],MATCH(1,INDEX((RIGHT(B152,LEN(enderecos_escolas[cidade])+1)=" "&amp;enderecos_escolas[cidade])*(LEN(enderecos_escolas[cidade])=F152),0),0)),"—"))</f>
        <v/>
      </c>
      <c r="H152">
        <f>IF(B152="","",IFERROR(VLOOKUP(G152,'Parâmetros'!$A$5:$B$31,2,FALSE),"Não localizada"))</f>
        <v/>
      </c>
      <c r="I152">
        <f>IF(B152="","",IFERROR(INDEX(enderecos_escolas[tipoLocalizacao],MATCH(1,INDEX((RIGHT(B152,LEN(enderecos_escolas[cidade])+1)=" "&amp;enderecos_escolas[cidade])*(LEN(enderecos_escolas[cidade])=F152),0),0)),"—"))</f>
        <v/>
      </c>
      <c r="K152">
        <f>IF(C152="","",IF(AND(OR('Ranking Escolas'!$F$4="Todas",H152='Ranking Escolas'!$F$4),OR('Ranking Escolas'!$I$4="Todos",E152='Ranking Escolas'!$I$4)),C152+(1000-A152)/10000000,""))</f>
        <v/>
      </c>
      <c r="M152" t="n">
        <v>151</v>
      </c>
      <c r="N152">
        <f>IF(M152&gt;ROWS(avaliacoes_cursos[curso]),"",INDEX(avaliacoes_cursos[curso],M152))</f>
        <v/>
      </c>
      <c r="O152">
        <f>IF(N152="","",INDEX(avaliacoes_cursos[escola],M152))</f>
        <v/>
      </c>
      <c r="P152">
        <f>IF(N152="","",INDEX(avaliacoes_cursos[Nota média],M152))</f>
        <v/>
      </c>
      <c r="Q152">
        <f>IF(N152="","",IF(COUNTIF(avaliacoes_cursos[curso],N152)&gt;1,N152&amp;" — "&amp;O152,N152))</f>
        <v/>
      </c>
      <c r="R152">
        <f>IF(P152="","",P152+(1000-M152)/10000000)</f>
        <v/>
      </c>
    </row>
    <row r="153">
      <c r="A153" t="n">
        <v>152</v>
      </c>
      <c r="B153">
        <f>IF(A153&gt;ROWS(avaliacoes_qualidade[escola]),"",INDEX(avaliacoes_qualidade[escola],A153))</f>
        <v/>
      </c>
      <c r="C153">
        <f>IF(B153="","",INDEX(avaliacoes_qualidade[Nota média],A153))</f>
        <v/>
      </c>
      <c r="D153">
        <f>IF(B153="","",INDEX(avaliacoes_qualidade[Avaliações],A153))</f>
        <v/>
      </c>
      <c r="E153">
        <f>IF(B153="","",IFERROR(INDEX(escolas[Column1.tipo],MATCH(B153,escolas[Column1.nome],0)),"—"))</f>
        <v/>
      </c>
      <c r="F153">
        <f>IF(B153="","",SUMPRODUCT(MAX((RIGHT(B153,LEN(enderecos_escolas[cidade])+1)=" "&amp;enderecos_escolas[cidade])*LEN(enderecos_escolas[cidade]))))</f>
        <v/>
      </c>
      <c r="G153">
        <f>IF(B153="","",IFERROR(INDEX(enderecos_escolas[estado],MATCH(1,INDEX((RIGHT(B153,LEN(enderecos_escolas[cidade])+1)=" "&amp;enderecos_escolas[cidade])*(LEN(enderecos_escolas[cidade])=F153),0),0)),"—"))</f>
        <v/>
      </c>
      <c r="H153">
        <f>IF(B153="","",IFERROR(VLOOKUP(G153,'Parâmetros'!$A$5:$B$31,2,FALSE),"Não localizada"))</f>
        <v/>
      </c>
      <c r="I153">
        <f>IF(B153="","",IFERROR(INDEX(enderecos_escolas[tipoLocalizacao],MATCH(1,INDEX((RIGHT(B153,LEN(enderecos_escolas[cidade])+1)=" "&amp;enderecos_escolas[cidade])*(LEN(enderecos_escolas[cidade])=F153),0),0)),"—"))</f>
        <v/>
      </c>
      <c r="K153">
        <f>IF(C153="","",IF(AND(OR('Ranking Escolas'!$F$4="Todas",H153='Ranking Escolas'!$F$4),OR('Ranking Escolas'!$I$4="Todos",E153='Ranking Escolas'!$I$4)),C153+(1000-A153)/10000000,""))</f>
        <v/>
      </c>
      <c r="M153" t="n">
        <v>152</v>
      </c>
      <c r="N153">
        <f>IF(M153&gt;ROWS(avaliacoes_cursos[curso]),"",INDEX(avaliacoes_cursos[curso],M153))</f>
        <v/>
      </c>
      <c r="O153">
        <f>IF(N153="","",INDEX(avaliacoes_cursos[escola],M153))</f>
        <v/>
      </c>
      <c r="P153">
        <f>IF(N153="","",INDEX(avaliacoes_cursos[Nota média],M153))</f>
        <v/>
      </c>
      <c r="Q153">
        <f>IF(N153="","",IF(COUNTIF(avaliacoes_cursos[curso],N153)&gt;1,N153&amp;" — "&amp;O153,N153))</f>
        <v/>
      </c>
      <c r="R153">
        <f>IF(P153="","",P153+(1000-M153)/10000000)</f>
        <v/>
      </c>
    </row>
    <row r="154">
      <c r="A154" t="n">
        <v>153</v>
      </c>
      <c r="B154">
        <f>IF(A154&gt;ROWS(avaliacoes_qualidade[escola]),"",INDEX(avaliacoes_qualidade[escola],A154))</f>
        <v/>
      </c>
      <c r="C154">
        <f>IF(B154="","",INDEX(avaliacoes_qualidade[Nota média],A154))</f>
        <v/>
      </c>
      <c r="D154">
        <f>IF(B154="","",INDEX(avaliacoes_qualidade[Avaliações],A154))</f>
        <v/>
      </c>
      <c r="E154">
        <f>IF(B154="","",IFERROR(INDEX(escolas[Column1.tipo],MATCH(B154,escolas[Column1.nome],0)),"—"))</f>
        <v/>
      </c>
      <c r="F154">
        <f>IF(B154="","",SUMPRODUCT(MAX((RIGHT(B154,LEN(enderecos_escolas[cidade])+1)=" "&amp;enderecos_escolas[cidade])*LEN(enderecos_escolas[cidade]))))</f>
        <v/>
      </c>
      <c r="G154">
        <f>IF(B154="","",IFERROR(INDEX(enderecos_escolas[estado],MATCH(1,INDEX((RIGHT(B154,LEN(enderecos_escolas[cidade])+1)=" "&amp;enderecos_escolas[cidade])*(LEN(enderecos_escolas[cidade])=F154),0),0)),"—"))</f>
        <v/>
      </c>
      <c r="H154">
        <f>IF(B154="","",IFERROR(VLOOKUP(G154,'Parâmetros'!$A$5:$B$31,2,FALSE),"Não localizada"))</f>
        <v/>
      </c>
      <c r="I154">
        <f>IF(B154="","",IFERROR(INDEX(enderecos_escolas[tipoLocalizacao],MATCH(1,INDEX((RIGHT(B154,LEN(enderecos_escolas[cidade])+1)=" "&amp;enderecos_escolas[cidade])*(LEN(enderecos_escolas[cidade])=F154),0),0)),"—"))</f>
        <v/>
      </c>
      <c r="K154">
        <f>IF(C154="","",IF(AND(OR('Ranking Escolas'!$F$4="Todas",H154='Ranking Escolas'!$F$4),OR('Ranking Escolas'!$I$4="Todos",E154='Ranking Escolas'!$I$4)),C154+(1000-A154)/10000000,""))</f>
        <v/>
      </c>
      <c r="M154" t="n">
        <v>153</v>
      </c>
      <c r="N154">
        <f>IF(M154&gt;ROWS(avaliacoes_cursos[curso]),"",INDEX(avaliacoes_cursos[curso],M154))</f>
        <v/>
      </c>
      <c r="O154">
        <f>IF(N154="","",INDEX(avaliacoes_cursos[escola],M154))</f>
        <v/>
      </c>
      <c r="P154">
        <f>IF(N154="","",INDEX(avaliacoes_cursos[Nota média],M154))</f>
        <v/>
      </c>
      <c r="Q154">
        <f>IF(N154="","",IF(COUNTIF(avaliacoes_cursos[curso],N154)&gt;1,N154&amp;" — "&amp;O154,N154))</f>
        <v/>
      </c>
      <c r="R154">
        <f>IF(P154="","",P154+(1000-M154)/10000000)</f>
        <v/>
      </c>
    </row>
    <row r="155">
      <c r="A155" t="n">
        <v>154</v>
      </c>
      <c r="B155">
        <f>IF(A155&gt;ROWS(avaliacoes_qualidade[escola]),"",INDEX(avaliacoes_qualidade[escola],A155))</f>
        <v/>
      </c>
      <c r="C155">
        <f>IF(B155="","",INDEX(avaliacoes_qualidade[Nota média],A155))</f>
        <v/>
      </c>
      <c r="D155">
        <f>IF(B155="","",INDEX(avaliacoes_qualidade[Avaliações],A155))</f>
        <v/>
      </c>
      <c r="E155">
        <f>IF(B155="","",IFERROR(INDEX(escolas[Column1.tipo],MATCH(B155,escolas[Column1.nome],0)),"—"))</f>
        <v/>
      </c>
      <c r="F155">
        <f>IF(B155="","",SUMPRODUCT(MAX((RIGHT(B155,LEN(enderecos_escolas[cidade])+1)=" "&amp;enderecos_escolas[cidade])*LEN(enderecos_escolas[cidade]))))</f>
        <v/>
      </c>
      <c r="G155">
        <f>IF(B155="","",IFERROR(INDEX(enderecos_escolas[estado],MATCH(1,INDEX((RIGHT(B155,LEN(enderecos_escolas[cidade])+1)=" "&amp;enderecos_escolas[cidade])*(LEN(enderecos_escolas[cidade])=F155),0),0)),"—"))</f>
        <v/>
      </c>
      <c r="H155">
        <f>IF(B155="","",IFERROR(VLOOKUP(G155,'Parâmetros'!$A$5:$B$31,2,FALSE),"Não localizada"))</f>
        <v/>
      </c>
      <c r="I155">
        <f>IF(B155="","",IFERROR(INDEX(enderecos_escolas[tipoLocalizacao],MATCH(1,INDEX((RIGHT(B155,LEN(enderecos_escolas[cidade])+1)=" "&amp;enderecos_escolas[cidade])*(LEN(enderecos_escolas[cidade])=F155),0),0)),"—"))</f>
        <v/>
      </c>
      <c r="K155">
        <f>IF(C155="","",IF(AND(OR('Ranking Escolas'!$F$4="Todas",H155='Ranking Escolas'!$F$4),OR('Ranking Escolas'!$I$4="Todos",E155='Ranking Escolas'!$I$4)),C155+(1000-A155)/10000000,""))</f>
        <v/>
      </c>
      <c r="M155" t="n">
        <v>154</v>
      </c>
      <c r="N155">
        <f>IF(M155&gt;ROWS(avaliacoes_cursos[curso]),"",INDEX(avaliacoes_cursos[curso],M155))</f>
        <v/>
      </c>
      <c r="O155">
        <f>IF(N155="","",INDEX(avaliacoes_cursos[escola],M155))</f>
        <v/>
      </c>
      <c r="P155">
        <f>IF(N155="","",INDEX(avaliacoes_cursos[Nota média],M155))</f>
        <v/>
      </c>
      <c r="Q155">
        <f>IF(N155="","",IF(COUNTIF(avaliacoes_cursos[curso],N155)&gt;1,N155&amp;" — "&amp;O155,N155))</f>
        <v/>
      </c>
      <c r="R155">
        <f>IF(P155="","",P155+(1000-M155)/10000000)</f>
        <v/>
      </c>
    </row>
    <row r="156">
      <c r="A156" t="n">
        <v>155</v>
      </c>
      <c r="B156">
        <f>IF(A156&gt;ROWS(avaliacoes_qualidade[escola]),"",INDEX(avaliacoes_qualidade[escola],A156))</f>
        <v/>
      </c>
      <c r="C156">
        <f>IF(B156="","",INDEX(avaliacoes_qualidade[Nota média],A156))</f>
        <v/>
      </c>
      <c r="D156">
        <f>IF(B156="","",INDEX(avaliacoes_qualidade[Avaliações],A156))</f>
        <v/>
      </c>
      <c r="E156">
        <f>IF(B156="","",IFERROR(INDEX(escolas[Column1.tipo],MATCH(B156,escolas[Column1.nome],0)),"—"))</f>
        <v/>
      </c>
      <c r="F156">
        <f>IF(B156="","",SUMPRODUCT(MAX((RIGHT(B156,LEN(enderecos_escolas[cidade])+1)=" "&amp;enderecos_escolas[cidade])*LEN(enderecos_escolas[cidade]))))</f>
        <v/>
      </c>
      <c r="G156">
        <f>IF(B156="","",IFERROR(INDEX(enderecos_escolas[estado],MATCH(1,INDEX((RIGHT(B156,LEN(enderecos_escolas[cidade])+1)=" "&amp;enderecos_escolas[cidade])*(LEN(enderecos_escolas[cidade])=F156),0),0)),"—"))</f>
        <v/>
      </c>
      <c r="H156">
        <f>IF(B156="","",IFERROR(VLOOKUP(G156,'Parâmetros'!$A$5:$B$31,2,FALSE),"Não localizada"))</f>
        <v/>
      </c>
      <c r="I156">
        <f>IF(B156="","",IFERROR(INDEX(enderecos_escolas[tipoLocalizacao],MATCH(1,INDEX((RIGHT(B156,LEN(enderecos_escolas[cidade])+1)=" "&amp;enderecos_escolas[cidade])*(LEN(enderecos_escolas[cidade])=F156),0),0)),"—"))</f>
        <v/>
      </c>
      <c r="K156">
        <f>IF(C156="","",IF(AND(OR('Ranking Escolas'!$F$4="Todas",H156='Ranking Escolas'!$F$4),OR('Ranking Escolas'!$I$4="Todos",E156='Ranking Escolas'!$I$4)),C156+(1000-A156)/10000000,""))</f>
        <v/>
      </c>
      <c r="M156" t="n">
        <v>155</v>
      </c>
      <c r="N156">
        <f>IF(M156&gt;ROWS(avaliacoes_cursos[curso]),"",INDEX(avaliacoes_cursos[curso],M156))</f>
        <v/>
      </c>
      <c r="O156">
        <f>IF(N156="","",INDEX(avaliacoes_cursos[escola],M156))</f>
        <v/>
      </c>
      <c r="P156">
        <f>IF(N156="","",INDEX(avaliacoes_cursos[Nota média],M156))</f>
        <v/>
      </c>
      <c r="Q156">
        <f>IF(N156="","",IF(COUNTIF(avaliacoes_cursos[curso],N156)&gt;1,N156&amp;" — "&amp;O156,N156))</f>
        <v/>
      </c>
      <c r="R156">
        <f>IF(P156="","",P156+(1000-M156)/10000000)</f>
        <v/>
      </c>
    </row>
    <row r="157">
      <c r="A157" t="n">
        <v>156</v>
      </c>
      <c r="B157">
        <f>IF(A157&gt;ROWS(avaliacoes_qualidade[escola]),"",INDEX(avaliacoes_qualidade[escola],A157))</f>
        <v/>
      </c>
      <c r="C157">
        <f>IF(B157="","",INDEX(avaliacoes_qualidade[Nota média],A157))</f>
        <v/>
      </c>
      <c r="D157">
        <f>IF(B157="","",INDEX(avaliacoes_qualidade[Avaliações],A157))</f>
        <v/>
      </c>
      <c r="E157">
        <f>IF(B157="","",IFERROR(INDEX(escolas[Column1.tipo],MATCH(B157,escolas[Column1.nome],0)),"—"))</f>
        <v/>
      </c>
      <c r="F157">
        <f>IF(B157="","",SUMPRODUCT(MAX((RIGHT(B157,LEN(enderecos_escolas[cidade])+1)=" "&amp;enderecos_escolas[cidade])*LEN(enderecos_escolas[cidade]))))</f>
        <v/>
      </c>
      <c r="G157">
        <f>IF(B157="","",IFERROR(INDEX(enderecos_escolas[estado],MATCH(1,INDEX((RIGHT(B157,LEN(enderecos_escolas[cidade])+1)=" "&amp;enderecos_escolas[cidade])*(LEN(enderecos_escolas[cidade])=F157),0),0)),"—"))</f>
        <v/>
      </c>
      <c r="H157">
        <f>IF(B157="","",IFERROR(VLOOKUP(G157,'Parâmetros'!$A$5:$B$31,2,FALSE),"Não localizada"))</f>
        <v/>
      </c>
      <c r="I157">
        <f>IF(B157="","",IFERROR(INDEX(enderecos_escolas[tipoLocalizacao],MATCH(1,INDEX((RIGHT(B157,LEN(enderecos_escolas[cidade])+1)=" "&amp;enderecos_escolas[cidade])*(LEN(enderecos_escolas[cidade])=F157),0),0)),"—"))</f>
        <v/>
      </c>
      <c r="K157">
        <f>IF(C157="","",IF(AND(OR('Ranking Escolas'!$F$4="Todas",H157='Ranking Escolas'!$F$4),OR('Ranking Escolas'!$I$4="Todos",E157='Ranking Escolas'!$I$4)),C157+(1000-A157)/10000000,""))</f>
        <v/>
      </c>
      <c r="M157" t="n">
        <v>156</v>
      </c>
      <c r="N157">
        <f>IF(M157&gt;ROWS(avaliacoes_cursos[curso]),"",INDEX(avaliacoes_cursos[curso],M157))</f>
        <v/>
      </c>
      <c r="O157">
        <f>IF(N157="","",INDEX(avaliacoes_cursos[escola],M157))</f>
        <v/>
      </c>
      <c r="P157">
        <f>IF(N157="","",INDEX(avaliacoes_cursos[Nota média],M157))</f>
        <v/>
      </c>
      <c r="Q157">
        <f>IF(N157="","",IF(COUNTIF(avaliacoes_cursos[curso],N157)&gt;1,N157&amp;" — "&amp;O157,N157))</f>
        <v/>
      </c>
      <c r="R157">
        <f>IF(P157="","",P157+(1000-M157)/10000000)</f>
        <v/>
      </c>
    </row>
    <row r="158">
      <c r="A158" t="n">
        <v>157</v>
      </c>
      <c r="B158">
        <f>IF(A158&gt;ROWS(avaliacoes_qualidade[escola]),"",INDEX(avaliacoes_qualidade[escola],A158))</f>
        <v/>
      </c>
      <c r="C158">
        <f>IF(B158="","",INDEX(avaliacoes_qualidade[Nota média],A158))</f>
        <v/>
      </c>
      <c r="D158">
        <f>IF(B158="","",INDEX(avaliacoes_qualidade[Avaliações],A158))</f>
        <v/>
      </c>
      <c r="E158">
        <f>IF(B158="","",IFERROR(INDEX(escolas[Column1.tipo],MATCH(B158,escolas[Column1.nome],0)),"—"))</f>
        <v/>
      </c>
      <c r="F158">
        <f>IF(B158="","",SUMPRODUCT(MAX((RIGHT(B158,LEN(enderecos_escolas[cidade])+1)=" "&amp;enderecos_escolas[cidade])*LEN(enderecos_escolas[cidade]))))</f>
        <v/>
      </c>
      <c r="G158">
        <f>IF(B158="","",IFERROR(INDEX(enderecos_escolas[estado],MATCH(1,INDEX((RIGHT(B158,LEN(enderecos_escolas[cidade])+1)=" "&amp;enderecos_escolas[cidade])*(LEN(enderecos_escolas[cidade])=F158),0),0)),"—"))</f>
        <v/>
      </c>
      <c r="H158">
        <f>IF(B158="","",IFERROR(VLOOKUP(G158,'Parâmetros'!$A$5:$B$31,2,FALSE),"Não localizada"))</f>
        <v/>
      </c>
      <c r="I158">
        <f>IF(B158="","",IFERROR(INDEX(enderecos_escolas[tipoLocalizacao],MATCH(1,INDEX((RIGHT(B158,LEN(enderecos_escolas[cidade])+1)=" "&amp;enderecos_escolas[cidade])*(LEN(enderecos_escolas[cidade])=F158),0),0)),"—"))</f>
        <v/>
      </c>
      <c r="K158">
        <f>IF(C158="","",IF(AND(OR('Ranking Escolas'!$F$4="Todas",H158='Ranking Escolas'!$F$4),OR('Ranking Escolas'!$I$4="Todos",E158='Ranking Escolas'!$I$4)),C158+(1000-A158)/10000000,""))</f>
        <v/>
      </c>
      <c r="M158" t="n">
        <v>157</v>
      </c>
      <c r="N158">
        <f>IF(M158&gt;ROWS(avaliacoes_cursos[curso]),"",INDEX(avaliacoes_cursos[curso],M158))</f>
        <v/>
      </c>
      <c r="O158">
        <f>IF(N158="","",INDEX(avaliacoes_cursos[escola],M158))</f>
        <v/>
      </c>
      <c r="P158">
        <f>IF(N158="","",INDEX(avaliacoes_cursos[Nota média],M158))</f>
        <v/>
      </c>
      <c r="Q158">
        <f>IF(N158="","",IF(COUNTIF(avaliacoes_cursos[curso],N158)&gt;1,N158&amp;" — "&amp;O158,N158))</f>
        <v/>
      </c>
      <c r="R158">
        <f>IF(P158="","",P158+(1000-M158)/10000000)</f>
        <v/>
      </c>
    </row>
    <row r="159">
      <c r="A159" t="n">
        <v>158</v>
      </c>
      <c r="B159">
        <f>IF(A159&gt;ROWS(avaliacoes_qualidade[escola]),"",INDEX(avaliacoes_qualidade[escola],A159))</f>
        <v/>
      </c>
      <c r="C159">
        <f>IF(B159="","",INDEX(avaliacoes_qualidade[Nota média],A159))</f>
        <v/>
      </c>
      <c r="D159">
        <f>IF(B159="","",INDEX(avaliacoes_qualidade[Avaliações],A159))</f>
        <v/>
      </c>
      <c r="E159">
        <f>IF(B159="","",IFERROR(INDEX(escolas[Column1.tipo],MATCH(B159,escolas[Column1.nome],0)),"—"))</f>
        <v/>
      </c>
      <c r="F159">
        <f>IF(B159="","",SUMPRODUCT(MAX((RIGHT(B159,LEN(enderecos_escolas[cidade])+1)=" "&amp;enderecos_escolas[cidade])*LEN(enderecos_escolas[cidade]))))</f>
        <v/>
      </c>
      <c r="G159">
        <f>IF(B159="","",IFERROR(INDEX(enderecos_escolas[estado],MATCH(1,INDEX((RIGHT(B159,LEN(enderecos_escolas[cidade])+1)=" "&amp;enderecos_escolas[cidade])*(LEN(enderecos_escolas[cidade])=F159),0),0)),"—"))</f>
        <v/>
      </c>
      <c r="H159">
        <f>IF(B159="","",IFERROR(VLOOKUP(G159,'Parâmetros'!$A$5:$B$31,2,FALSE),"Não localizada"))</f>
        <v/>
      </c>
      <c r="I159">
        <f>IF(B159="","",IFERROR(INDEX(enderecos_escolas[tipoLocalizacao],MATCH(1,INDEX((RIGHT(B159,LEN(enderecos_escolas[cidade])+1)=" "&amp;enderecos_escolas[cidade])*(LEN(enderecos_escolas[cidade])=F159),0),0)),"—"))</f>
        <v/>
      </c>
      <c r="K159">
        <f>IF(C159="","",IF(AND(OR('Ranking Escolas'!$F$4="Todas",H159='Ranking Escolas'!$F$4),OR('Ranking Escolas'!$I$4="Todos",E159='Ranking Escolas'!$I$4)),C159+(1000-A159)/10000000,""))</f>
        <v/>
      </c>
      <c r="M159" t="n">
        <v>158</v>
      </c>
      <c r="N159">
        <f>IF(M159&gt;ROWS(avaliacoes_cursos[curso]),"",INDEX(avaliacoes_cursos[curso],M159))</f>
        <v/>
      </c>
      <c r="O159">
        <f>IF(N159="","",INDEX(avaliacoes_cursos[escola],M159))</f>
        <v/>
      </c>
      <c r="P159">
        <f>IF(N159="","",INDEX(avaliacoes_cursos[Nota média],M159))</f>
        <v/>
      </c>
      <c r="Q159">
        <f>IF(N159="","",IF(COUNTIF(avaliacoes_cursos[curso],N159)&gt;1,N159&amp;" — "&amp;O159,N159))</f>
        <v/>
      </c>
      <c r="R159">
        <f>IF(P159="","",P159+(1000-M159)/10000000)</f>
        <v/>
      </c>
    </row>
    <row r="160">
      <c r="A160" t="n">
        <v>159</v>
      </c>
      <c r="B160">
        <f>IF(A160&gt;ROWS(avaliacoes_qualidade[escola]),"",INDEX(avaliacoes_qualidade[escola],A160))</f>
        <v/>
      </c>
      <c r="C160">
        <f>IF(B160="","",INDEX(avaliacoes_qualidade[Nota média],A160))</f>
        <v/>
      </c>
      <c r="D160">
        <f>IF(B160="","",INDEX(avaliacoes_qualidade[Avaliações],A160))</f>
        <v/>
      </c>
      <c r="E160">
        <f>IF(B160="","",IFERROR(INDEX(escolas[Column1.tipo],MATCH(B160,escolas[Column1.nome],0)),"—"))</f>
        <v/>
      </c>
      <c r="F160">
        <f>IF(B160="","",SUMPRODUCT(MAX((RIGHT(B160,LEN(enderecos_escolas[cidade])+1)=" "&amp;enderecos_escolas[cidade])*LEN(enderecos_escolas[cidade]))))</f>
        <v/>
      </c>
      <c r="G160">
        <f>IF(B160="","",IFERROR(INDEX(enderecos_escolas[estado],MATCH(1,INDEX((RIGHT(B160,LEN(enderecos_escolas[cidade])+1)=" "&amp;enderecos_escolas[cidade])*(LEN(enderecos_escolas[cidade])=F160),0),0)),"—"))</f>
        <v/>
      </c>
      <c r="H160">
        <f>IF(B160="","",IFERROR(VLOOKUP(G160,'Parâmetros'!$A$5:$B$31,2,FALSE),"Não localizada"))</f>
        <v/>
      </c>
      <c r="I160">
        <f>IF(B160="","",IFERROR(INDEX(enderecos_escolas[tipoLocalizacao],MATCH(1,INDEX((RIGHT(B160,LEN(enderecos_escolas[cidade])+1)=" "&amp;enderecos_escolas[cidade])*(LEN(enderecos_escolas[cidade])=F160),0),0)),"—"))</f>
        <v/>
      </c>
      <c r="K160">
        <f>IF(C160="","",IF(AND(OR('Ranking Escolas'!$F$4="Todas",H160='Ranking Escolas'!$F$4),OR('Ranking Escolas'!$I$4="Todos",E160='Ranking Escolas'!$I$4)),C160+(1000-A160)/10000000,""))</f>
        <v/>
      </c>
      <c r="M160" t="n">
        <v>159</v>
      </c>
      <c r="N160">
        <f>IF(M160&gt;ROWS(avaliacoes_cursos[curso]),"",INDEX(avaliacoes_cursos[curso],M160))</f>
        <v/>
      </c>
      <c r="O160">
        <f>IF(N160="","",INDEX(avaliacoes_cursos[escola],M160))</f>
        <v/>
      </c>
      <c r="P160">
        <f>IF(N160="","",INDEX(avaliacoes_cursos[Nota média],M160))</f>
        <v/>
      </c>
      <c r="Q160">
        <f>IF(N160="","",IF(COUNTIF(avaliacoes_cursos[curso],N160)&gt;1,N160&amp;" — "&amp;O160,N160))</f>
        <v/>
      </c>
      <c r="R160">
        <f>IF(P160="","",P160+(1000-M160)/10000000)</f>
        <v/>
      </c>
    </row>
    <row r="161">
      <c r="A161" t="n">
        <v>160</v>
      </c>
      <c r="B161">
        <f>IF(A161&gt;ROWS(avaliacoes_qualidade[escola]),"",INDEX(avaliacoes_qualidade[escola],A161))</f>
        <v/>
      </c>
      <c r="C161">
        <f>IF(B161="","",INDEX(avaliacoes_qualidade[Nota média],A161))</f>
        <v/>
      </c>
      <c r="D161">
        <f>IF(B161="","",INDEX(avaliacoes_qualidade[Avaliações],A161))</f>
        <v/>
      </c>
      <c r="E161">
        <f>IF(B161="","",IFERROR(INDEX(escolas[Column1.tipo],MATCH(B161,escolas[Column1.nome],0)),"—"))</f>
        <v/>
      </c>
      <c r="F161">
        <f>IF(B161="","",SUMPRODUCT(MAX((RIGHT(B161,LEN(enderecos_escolas[cidade])+1)=" "&amp;enderecos_escolas[cidade])*LEN(enderecos_escolas[cidade]))))</f>
        <v/>
      </c>
      <c r="G161">
        <f>IF(B161="","",IFERROR(INDEX(enderecos_escolas[estado],MATCH(1,INDEX((RIGHT(B161,LEN(enderecos_escolas[cidade])+1)=" "&amp;enderecos_escolas[cidade])*(LEN(enderecos_escolas[cidade])=F161),0),0)),"—"))</f>
        <v/>
      </c>
      <c r="H161">
        <f>IF(B161="","",IFERROR(VLOOKUP(G161,'Parâmetros'!$A$5:$B$31,2,FALSE),"Não localizada"))</f>
        <v/>
      </c>
      <c r="I161">
        <f>IF(B161="","",IFERROR(INDEX(enderecos_escolas[tipoLocalizacao],MATCH(1,INDEX((RIGHT(B161,LEN(enderecos_escolas[cidade])+1)=" "&amp;enderecos_escolas[cidade])*(LEN(enderecos_escolas[cidade])=F161),0),0)),"—"))</f>
        <v/>
      </c>
      <c r="K161">
        <f>IF(C161="","",IF(AND(OR('Ranking Escolas'!$F$4="Todas",H161='Ranking Escolas'!$F$4),OR('Ranking Escolas'!$I$4="Todos",E161='Ranking Escolas'!$I$4)),C161+(1000-A161)/10000000,""))</f>
        <v/>
      </c>
      <c r="M161" t="n">
        <v>160</v>
      </c>
      <c r="N161">
        <f>IF(M161&gt;ROWS(avaliacoes_cursos[curso]),"",INDEX(avaliacoes_cursos[curso],M161))</f>
        <v/>
      </c>
      <c r="O161">
        <f>IF(N161="","",INDEX(avaliacoes_cursos[escola],M161))</f>
        <v/>
      </c>
      <c r="P161">
        <f>IF(N161="","",INDEX(avaliacoes_cursos[Nota média],M161))</f>
        <v/>
      </c>
      <c r="Q161">
        <f>IF(N161="","",IF(COUNTIF(avaliacoes_cursos[curso],N161)&gt;1,N161&amp;" — "&amp;O161,N161))</f>
        <v/>
      </c>
      <c r="R161">
        <f>IF(P161="","",P161+(1000-M161)/10000000)</f>
        <v/>
      </c>
    </row>
    <row r="162">
      <c r="A162" t="n">
        <v>161</v>
      </c>
      <c r="B162">
        <f>IF(A162&gt;ROWS(avaliacoes_qualidade[escola]),"",INDEX(avaliacoes_qualidade[escola],A162))</f>
        <v/>
      </c>
      <c r="C162">
        <f>IF(B162="","",INDEX(avaliacoes_qualidade[Nota média],A162))</f>
        <v/>
      </c>
      <c r="D162">
        <f>IF(B162="","",INDEX(avaliacoes_qualidade[Avaliações],A162))</f>
        <v/>
      </c>
      <c r="E162">
        <f>IF(B162="","",IFERROR(INDEX(escolas[Column1.tipo],MATCH(B162,escolas[Column1.nome],0)),"—"))</f>
        <v/>
      </c>
      <c r="F162">
        <f>IF(B162="","",SUMPRODUCT(MAX((RIGHT(B162,LEN(enderecos_escolas[cidade])+1)=" "&amp;enderecos_escolas[cidade])*LEN(enderecos_escolas[cidade]))))</f>
        <v/>
      </c>
      <c r="G162">
        <f>IF(B162="","",IFERROR(INDEX(enderecos_escolas[estado],MATCH(1,INDEX((RIGHT(B162,LEN(enderecos_escolas[cidade])+1)=" "&amp;enderecos_escolas[cidade])*(LEN(enderecos_escolas[cidade])=F162),0),0)),"—"))</f>
        <v/>
      </c>
      <c r="H162">
        <f>IF(B162="","",IFERROR(VLOOKUP(G162,'Parâmetros'!$A$5:$B$31,2,FALSE),"Não localizada"))</f>
        <v/>
      </c>
      <c r="I162">
        <f>IF(B162="","",IFERROR(INDEX(enderecos_escolas[tipoLocalizacao],MATCH(1,INDEX((RIGHT(B162,LEN(enderecos_escolas[cidade])+1)=" "&amp;enderecos_escolas[cidade])*(LEN(enderecos_escolas[cidade])=F162),0),0)),"—"))</f>
        <v/>
      </c>
      <c r="K162">
        <f>IF(C162="","",IF(AND(OR('Ranking Escolas'!$F$4="Todas",H162='Ranking Escolas'!$F$4),OR('Ranking Escolas'!$I$4="Todos",E162='Ranking Escolas'!$I$4)),C162+(1000-A162)/10000000,""))</f>
        <v/>
      </c>
      <c r="M162" t="n">
        <v>161</v>
      </c>
      <c r="N162">
        <f>IF(M162&gt;ROWS(avaliacoes_cursos[curso]),"",INDEX(avaliacoes_cursos[curso],M162))</f>
        <v/>
      </c>
      <c r="O162">
        <f>IF(N162="","",INDEX(avaliacoes_cursos[escola],M162))</f>
        <v/>
      </c>
      <c r="P162">
        <f>IF(N162="","",INDEX(avaliacoes_cursos[Nota média],M162))</f>
        <v/>
      </c>
      <c r="Q162">
        <f>IF(N162="","",IF(COUNTIF(avaliacoes_cursos[curso],N162)&gt;1,N162&amp;" — "&amp;O162,N162))</f>
        <v/>
      </c>
      <c r="R162">
        <f>IF(P162="","",P162+(1000-M162)/10000000)</f>
        <v/>
      </c>
    </row>
    <row r="163">
      <c r="A163" t="n">
        <v>162</v>
      </c>
      <c r="B163">
        <f>IF(A163&gt;ROWS(avaliacoes_qualidade[escola]),"",INDEX(avaliacoes_qualidade[escola],A163))</f>
        <v/>
      </c>
      <c r="C163">
        <f>IF(B163="","",INDEX(avaliacoes_qualidade[Nota média],A163))</f>
        <v/>
      </c>
      <c r="D163">
        <f>IF(B163="","",INDEX(avaliacoes_qualidade[Avaliações],A163))</f>
        <v/>
      </c>
      <c r="E163">
        <f>IF(B163="","",IFERROR(INDEX(escolas[Column1.tipo],MATCH(B163,escolas[Column1.nome],0)),"—"))</f>
        <v/>
      </c>
      <c r="F163">
        <f>IF(B163="","",SUMPRODUCT(MAX((RIGHT(B163,LEN(enderecos_escolas[cidade])+1)=" "&amp;enderecos_escolas[cidade])*LEN(enderecos_escolas[cidade]))))</f>
        <v/>
      </c>
      <c r="G163">
        <f>IF(B163="","",IFERROR(INDEX(enderecos_escolas[estado],MATCH(1,INDEX((RIGHT(B163,LEN(enderecos_escolas[cidade])+1)=" "&amp;enderecos_escolas[cidade])*(LEN(enderecos_escolas[cidade])=F163),0),0)),"—"))</f>
        <v/>
      </c>
      <c r="H163">
        <f>IF(B163="","",IFERROR(VLOOKUP(G163,'Parâmetros'!$A$5:$B$31,2,FALSE),"Não localizada"))</f>
        <v/>
      </c>
      <c r="I163">
        <f>IF(B163="","",IFERROR(INDEX(enderecos_escolas[tipoLocalizacao],MATCH(1,INDEX((RIGHT(B163,LEN(enderecos_escolas[cidade])+1)=" "&amp;enderecos_escolas[cidade])*(LEN(enderecos_escolas[cidade])=F163),0),0)),"—"))</f>
        <v/>
      </c>
      <c r="K163">
        <f>IF(C163="","",IF(AND(OR('Ranking Escolas'!$F$4="Todas",H163='Ranking Escolas'!$F$4),OR('Ranking Escolas'!$I$4="Todos",E163='Ranking Escolas'!$I$4)),C163+(1000-A163)/10000000,""))</f>
        <v/>
      </c>
      <c r="M163" t="n">
        <v>162</v>
      </c>
      <c r="N163">
        <f>IF(M163&gt;ROWS(avaliacoes_cursos[curso]),"",INDEX(avaliacoes_cursos[curso],M163))</f>
        <v/>
      </c>
      <c r="O163">
        <f>IF(N163="","",INDEX(avaliacoes_cursos[escola],M163))</f>
        <v/>
      </c>
      <c r="P163">
        <f>IF(N163="","",INDEX(avaliacoes_cursos[Nota média],M163))</f>
        <v/>
      </c>
      <c r="Q163">
        <f>IF(N163="","",IF(COUNTIF(avaliacoes_cursos[curso],N163)&gt;1,N163&amp;" — "&amp;O163,N163))</f>
        <v/>
      </c>
      <c r="R163">
        <f>IF(P163="","",P163+(1000-M163)/10000000)</f>
        <v/>
      </c>
    </row>
    <row r="164">
      <c r="A164" t="n">
        <v>163</v>
      </c>
      <c r="B164">
        <f>IF(A164&gt;ROWS(avaliacoes_qualidade[escola]),"",INDEX(avaliacoes_qualidade[escola],A164))</f>
        <v/>
      </c>
      <c r="C164">
        <f>IF(B164="","",INDEX(avaliacoes_qualidade[Nota média],A164))</f>
        <v/>
      </c>
      <c r="D164">
        <f>IF(B164="","",INDEX(avaliacoes_qualidade[Avaliações],A164))</f>
        <v/>
      </c>
      <c r="E164">
        <f>IF(B164="","",IFERROR(INDEX(escolas[Column1.tipo],MATCH(B164,escolas[Column1.nome],0)),"—"))</f>
        <v/>
      </c>
      <c r="F164">
        <f>IF(B164="","",SUMPRODUCT(MAX((RIGHT(B164,LEN(enderecos_escolas[cidade])+1)=" "&amp;enderecos_escolas[cidade])*LEN(enderecos_escolas[cidade]))))</f>
        <v/>
      </c>
      <c r="G164">
        <f>IF(B164="","",IFERROR(INDEX(enderecos_escolas[estado],MATCH(1,INDEX((RIGHT(B164,LEN(enderecos_escolas[cidade])+1)=" "&amp;enderecos_escolas[cidade])*(LEN(enderecos_escolas[cidade])=F164),0),0)),"—"))</f>
        <v/>
      </c>
      <c r="H164">
        <f>IF(B164="","",IFERROR(VLOOKUP(G164,'Parâmetros'!$A$5:$B$31,2,FALSE),"Não localizada"))</f>
        <v/>
      </c>
      <c r="I164">
        <f>IF(B164="","",IFERROR(INDEX(enderecos_escolas[tipoLocalizacao],MATCH(1,INDEX((RIGHT(B164,LEN(enderecos_escolas[cidade])+1)=" "&amp;enderecos_escolas[cidade])*(LEN(enderecos_escolas[cidade])=F164),0),0)),"—"))</f>
        <v/>
      </c>
      <c r="K164">
        <f>IF(C164="","",IF(AND(OR('Ranking Escolas'!$F$4="Todas",H164='Ranking Escolas'!$F$4),OR('Ranking Escolas'!$I$4="Todos",E164='Ranking Escolas'!$I$4)),C164+(1000-A164)/10000000,""))</f>
        <v/>
      </c>
      <c r="M164" t="n">
        <v>163</v>
      </c>
      <c r="N164">
        <f>IF(M164&gt;ROWS(avaliacoes_cursos[curso]),"",INDEX(avaliacoes_cursos[curso],M164))</f>
        <v/>
      </c>
      <c r="O164">
        <f>IF(N164="","",INDEX(avaliacoes_cursos[escola],M164))</f>
        <v/>
      </c>
      <c r="P164">
        <f>IF(N164="","",INDEX(avaliacoes_cursos[Nota média],M164))</f>
        <v/>
      </c>
      <c r="Q164">
        <f>IF(N164="","",IF(COUNTIF(avaliacoes_cursos[curso],N164)&gt;1,N164&amp;" — "&amp;O164,N164))</f>
        <v/>
      </c>
      <c r="R164">
        <f>IF(P164="","",P164+(1000-M164)/10000000)</f>
        <v/>
      </c>
    </row>
    <row r="165">
      <c r="A165" t="n">
        <v>164</v>
      </c>
      <c r="B165">
        <f>IF(A165&gt;ROWS(avaliacoes_qualidade[escola]),"",INDEX(avaliacoes_qualidade[escola],A165))</f>
        <v/>
      </c>
      <c r="C165">
        <f>IF(B165="","",INDEX(avaliacoes_qualidade[Nota média],A165))</f>
        <v/>
      </c>
      <c r="D165">
        <f>IF(B165="","",INDEX(avaliacoes_qualidade[Avaliações],A165))</f>
        <v/>
      </c>
      <c r="E165">
        <f>IF(B165="","",IFERROR(INDEX(escolas[Column1.tipo],MATCH(B165,escolas[Column1.nome],0)),"—"))</f>
        <v/>
      </c>
      <c r="F165">
        <f>IF(B165="","",SUMPRODUCT(MAX((RIGHT(B165,LEN(enderecos_escolas[cidade])+1)=" "&amp;enderecos_escolas[cidade])*LEN(enderecos_escolas[cidade]))))</f>
        <v/>
      </c>
      <c r="G165">
        <f>IF(B165="","",IFERROR(INDEX(enderecos_escolas[estado],MATCH(1,INDEX((RIGHT(B165,LEN(enderecos_escolas[cidade])+1)=" "&amp;enderecos_escolas[cidade])*(LEN(enderecos_escolas[cidade])=F165),0),0)),"—"))</f>
        <v/>
      </c>
      <c r="H165">
        <f>IF(B165="","",IFERROR(VLOOKUP(G165,'Parâmetros'!$A$5:$B$31,2,FALSE),"Não localizada"))</f>
        <v/>
      </c>
      <c r="I165">
        <f>IF(B165="","",IFERROR(INDEX(enderecos_escolas[tipoLocalizacao],MATCH(1,INDEX((RIGHT(B165,LEN(enderecos_escolas[cidade])+1)=" "&amp;enderecos_escolas[cidade])*(LEN(enderecos_escolas[cidade])=F165),0),0)),"—"))</f>
        <v/>
      </c>
      <c r="K165">
        <f>IF(C165="","",IF(AND(OR('Ranking Escolas'!$F$4="Todas",H165='Ranking Escolas'!$F$4),OR('Ranking Escolas'!$I$4="Todos",E165='Ranking Escolas'!$I$4)),C165+(1000-A165)/10000000,""))</f>
        <v/>
      </c>
      <c r="M165" t="n">
        <v>164</v>
      </c>
      <c r="N165">
        <f>IF(M165&gt;ROWS(avaliacoes_cursos[curso]),"",INDEX(avaliacoes_cursos[curso],M165))</f>
        <v/>
      </c>
      <c r="O165">
        <f>IF(N165="","",INDEX(avaliacoes_cursos[escola],M165))</f>
        <v/>
      </c>
      <c r="P165">
        <f>IF(N165="","",INDEX(avaliacoes_cursos[Nota média],M165))</f>
        <v/>
      </c>
      <c r="Q165">
        <f>IF(N165="","",IF(COUNTIF(avaliacoes_cursos[curso],N165)&gt;1,N165&amp;" — "&amp;O165,N165))</f>
        <v/>
      </c>
      <c r="R165">
        <f>IF(P165="","",P165+(1000-M165)/10000000)</f>
        <v/>
      </c>
    </row>
    <row r="166">
      <c r="A166" t="n">
        <v>165</v>
      </c>
      <c r="B166">
        <f>IF(A166&gt;ROWS(avaliacoes_qualidade[escola]),"",INDEX(avaliacoes_qualidade[escola],A166))</f>
        <v/>
      </c>
      <c r="C166">
        <f>IF(B166="","",INDEX(avaliacoes_qualidade[Nota média],A166))</f>
        <v/>
      </c>
      <c r="D166">
        <f>IF(B166="","",INDEX(avaliacoes_qualidade[Avaliações],A166))</f>
        <v/>
      </c>
      <c r="E166">
        <f>IF(B166="","",IFERROR(INDEX(escolas[Column1.tipo],MATCH(B166,escolas[Column1.nome],0)),"—"))</f>
        <v/>
      </c>
      <c r="F166">
        <f>IF(B166="","",SUMPRODUCT(MAX((RIGHT(B166,LEN(enderecos_escolas[cidade])+1)=" "&amp;enderecos_escolas[cidade])*LEN(enderecos_escolas[cidade]))))</f>
        <v/>
      </c>
      <c r="G166">
        <f>IF(B166="","",IFERROR(INDEX(enderecos_escolas[estado],MATCH(1,INDEX((RIGHT(B166,LEN(enderecos_escolas[cidade])+1)=" "&amp;enderecos_escolas[cidade])*(LEN(enderecos_escolas[cidade])=F166),0),0)),"—"))</f>
        <v/>
      </c>
      <c r="H166">
        <f>IF(B166="","",IFERROR(VLOOKUP(G166,'Parâmetros'!$A$5:$B$31,2,FALSE),"Não localizada"))</f>
        <v/>
      </c>
      <c r="I166">
        <f>IF(B166="","",IFERROR(INDEX(enderecos_escolas[tipoLocalizacao],MATCH(1,INDEX((RIGHT(B166,LEN(enderecos_escolas[cidade])+1)=" "&amp;enderecos_escolas[cidade])*(LEN(enderecos_escolas[cidade])=F166),0),0)),"—"))</f>
        <v/>
      </c>
      <c r="K166">
        <f>IF(C166="","",IF(AND(OR('Ranking Escolas'!$F$4="Todas",H166='Ranking Escolas'!$F$4),OR('Ranking Escolas'!$I$4="Todos",E166='Ranking Escolas'!$I$4)),C166+(1000-A166)/10000000,""))</f>
        <v/>
      </c>
      <c r="M166" t="n">
        <v>165</v>
      </c>
      <c r="N166">
        <f>IF(M166&gt;ROWS(avaliacoes_cursos[curso]),"",INDEX(avaliacoes_cursos[curso],M166))</f>
        <v/>
      </c>
      <c r="O166">
        <f>IF(N166="","",INDEX(avaliacoes_cursos[escola],M166))</f>
        <v/>
      </c>
      <c r="P166">
        <f>IF(N166="","",INDEX(avaliacoes_cursos[Nota média],M166))</f>
        <v/>
      </c>
      <c r="Q166">
        <f>IF(N166="","",IF(COUNTIF(avaliacoes_cursos[curso],N166)&gt;1,N166&amp;" — "&amp;O166,N166))</f>
        <v/>
      </c>
      <c r="R166">
        <f>IF(P166="","",P166+(1000-M166)/10000000)</f>
        <v/>
      </c>
    </row>
    <row r="167">
      <c r="A167" t="n">
        <v>166</v>
      </c>
      <c r="B167">
        <f>IF(A167&gt;ROWS(avaliacoes_qualidade[escola]),"",INDEX(avaliacoes_qualidade[escola],A167))</f>
        <v/>
      </c>
      <c r="C167">
        <f>IF(B167="","",INDEX(avaliacoes_qualidade[Nota média],A167))</f>
        <v/>
      </c>
      <c r="D167">
        <f>IF(B167="","",INDEX(avaliacoes_qualidade[Avaliações],A167))</f>
        <v/>
      </c>
      <c r="E167">
        <f>IF(B167="","",IFERROR(INDEX(escolas[Column1.tipo],MATCH(B167,escolas[Column1.nome],0)),"—"))</f>
        <v/>
      </c>
      <c r="F167">
        <f>IF(B167="","",SUMPRODUCT(MAX((RIGHT(B167,LEN(enderecos_escolas[cidade])+1)=" "&amp;enderecos_escolas[cidade])*LEN(enderecos_escolas[cidade]))))</f>
        <v/>
      </c>
      <c r="G167">
        <f>IF(B167="","",IFERROR(INDEX(enderecos_escolas[estado],MATCH(1,INDEX((RIGHT(B167,LEN(enderecos_escolas[cidade])+1)=" "&amp;enderecos_escolas[cidade])*(LEN(enderecos_escolas[cidade])=F167),0),0)),"—"))</f>
        <v/>
      </c>
      <c r="H167">
        <f>IF(B167="","",IFERROR(VLOOKUP(G167,'Parâmetros'!$A$5:$B$31,2,FALSE),"Não localizada"))</f>
        <v/>
      </c>
      <c r="I167">
        <f>IF(B167="","",IFERROR(INDEX(enderecos_escolas[tipoLocalizacao],MATCH(1,INDEX((RIGHT(B167,LEN(enderecos_escolas[cidade])+1)=" "&amp;enderecos_escolas[cidade])*(LEN(enderecos_escolas[cidade])=F167),0),0)),"—"))</f>
        <v/>
      </c>
      <c r="K167">
        <f>IF(C167="","",IF(AND(OR('Ranking Escolas'!$F$4="Todas",H167='Ranking Escolas'!$F$4),OR('Ranking Escolas'!$I$4="Todos",E167='Ranking Escolas'!$I$4)),C167+(1000-A167)/10000000,""))</f>
        <v/>
      </c>
      <c r="M167" t="n">
        <v>166</v>
      </c>
      <c r="N167">
        <f>IF(M167&gt;ROWS(avaliacoes_cursos[curso]),"",INDEX(avaliacoes_cursos[curso],M167))</f>
        <v/>
      </c>
      <c r="O167">
        <f>IF(N167="","",INDEX(avaliacoes_cursos[escola],M167))</f>
        <v/>
      </c>
      <c r="P167">
        <f>IF(N167="","",INDEX(avaliacoes_cursos[Nota média],M167))</f>
        <v/>
      </c>
      <c r="Q167">
        <f>IF(N167="","",IF(COUNTIF(avaliacoes_cursos[curso],N167)&gt;1,N167&amp;" — "&amp;O167,N167))</f>
        <v/>
      </c>
      <c r="R167">
        <f>IF(P167="","",P167+(1000-M167)/10000000)</f>
        <v/>
      </c>
    </row>
    <row r="168">
      <c r="A168" t="n">
        <v>167</v>
      </c>
      <c r="B168">
        <f>IF(A168&gt;ROWS(avaliacoes_qualidade[escola]),"",INDEX(avaliacoes_qualidade[escola],A168))</f>
        <v/>
      </c>
      <c r="C168">
        <f>IF(B168="","",INDEX(avaliacoes_qualidade[Nota média],A168))</f>
        <v/>
      </c>
      <c r="D168">
        <f>IF(B168="","",INDEX(avaliacoes_qualidade[Avaliações],A168))</f>
        <v/>
      </c>
      <c r="E168">
        <f>IF(B168="","",IFERROR(INDEX(escolas[Column1.tipo],MATCH(B168,escolas[Column1.nome],0)),"—"))</f>
        <v/>
      </c>
      <c r="F168">
        <f>IF(B168="","",SUMPRODUCT(MAX((RIGHT(B168,LEN(enderecos_escolas[cidade])+1)=" "&amp;enderecos_escolas[cidade])*LEN(enderecos_escolas[cidade]))))</f>
        <v/>
      </c>
      <c r="G168">
        <f>IF(B168="","",IFERROR(INDEX(enderecos_escolas[estado],MATCH(1,INDEX((RIGHT(B168,LEN(enderecos_escolas[cidade])+1)=" "&amp;enderecos_escolas[cidade])*(LEN(enderecos_escolas[cidade])=F168),0),0)),"—"))</f>
        <v/>
      </c>
      <c r="H168">
        <f>IF(B168="","",IFERROR(VLOOKUP(G168,'Parâmetros'!$A$5:$B$31,2,FALSE),"Não localizada"))</f>
        <v/>
      </c>
      <c r="I168">
        <f>IF(B168="","",IFERROR(INDEX(enderecos_escolas[tipoLocalizacao],MATCH(1,INDEX((RIGHT(B168,LEN(enderecos_escolas[cidade])+1)=" "&amp;enderecos_escolas[cidade])*(LEN(enderecos_escolas[cidade])=F168),0),0)),"—"))</f>
        <v/>
      </c>
      <c r="K168">
        <f>IF(C168="","",IF(AND(OR('Ranking Escolas'!$F$4="Todas",H168='Ranking Escolas'!$F$4),OR('Ranking Escolas'!$I$4="Todos",E168='Ranking Escolas'!$I$4)),C168+(1000-A168)/10000000,""))</f>
        <v/>
      </c>
      <c r="M168" t="n">
        <v>167</v>
      </c>
      <c r="N168">
        <f>IF(M168&gt;ROWS(avaliacoes_cursos[curso]),"",INDEX(avaliacoes_cursos[curso],M168))</f>
        <v/>
      </c>
      <c r="O168">
        <f>IF(N168="","",INDEX(avaliacoes_cursos[escola],M168))</f>
        <v/>
      </c>
      <c r="P168">
        <f>IF(N168="","",INDEX(avaliacoes_cursos[Nota média],M168))</f>
        <v/>
      </c>
      <c r="Q168">
        <f>IF(N168="","",IF(COUNTIF(avaliacoes_cursos[curso],N168)&gt;1,N168&amp;" — "&amp;O168,N168))</f>
        <v/>
      </c>
      <c r="R168">
        <f>IF(P168="","",P168+(1000-M168)/10000000)</f>
        <v/>
      </c>
    </row>
    <row r="169">
      <c r="A169" t="n">
        <v>168</v>
      </c>
      <c r="B169">
        <f>IF(A169&gt;ROWS(avaliacoes_qualidade[escola]),"",INDEX(avaliacoes_qualidade[escola],A169))</f>
        <v/>
      </c>
      <c r="C169">
        <f>IF(B169="","",INDEX(avaliacoes_qualidade[Nota média],A169))</f>
        <v/>
      </c>
      <c r="D169">
        <f>IF(B169="","",INDEX(avaliacoes_qualidade[Avaliações],A169))</f>
        <v/>
      </c>
      <c r="E169">
        <f>IF(B169="","",IFERROR(INDEX(escolas[Column1.tipo],MATCH(B169,escolas[Column1.nome],0)),"—"))</f>
        <v/>
      </c>
      <c r="F169">
        <f>IF(B169="","",SUMPRODUCT(MAX((RIGHT(B169,LEN(enderecos_escolas[cidade])+1)=" "&amp;enderecos_escolas[cidade])*LEN(enderecos_escolas[cidade]))))</f>
        <v/>
      </c>
      <c r="G169">
        <f>IF(B169="","",IFERROR(INDEX(enderecos_escolas[estado],MATCH(1,INDEX((RIGHT(B169,LEN(enderecos_escolas[cidade])+1)=" "&amp;enderecos_escolas[cidade])*(LEN(enderecos_escolas[cidade])=F169),0),0)),"—"))</f>
        <v/>
      </c>
      <c r="H169">
        <f>IF(B169="","",IFERROR(VLOOKUP(G169,'Parâmetros'!$A$5:$B$31,2,FALSE),"Não localizada"))</f>
        <v/>
      </c>
      <c r="I169">
        <f>IF(B169="","",IFERROR(INDEX(enderecos_escolas[tipoLocalizacao],MATCH(1,INDEX((RIGHT(B169,LEN(enderecos_escolas[cidade])+1)=" "&amp;enderecos_escolas[cidade])*(LEN(enderecos_escolas[cidade])=F169),0),0)),"—"))</f>
        <v/>
      </c>
      <c r="K169">
        <f>IF(C169="","",IF(AND(OR('Ranking Escolas'!$F$4="Todas",H169='Ranking Escolas'!$F$4),OR('Ranking Escolas'!$I$4="Todos",E169='Ranking Escolas'!$I$4)),C169+(1000-A169)/10000000,""))</f>
        <v/>
      </c>
      <c r="M169" t="n">
        <v>168</v>
      </c>
      <c r="N169">
        <f>IF(M169&gt;ROWS(avaliacoes_cursos[curso]),"",INDEX(avaliacoes_cursos[curso],M169))</f>
        <v/>
      </c>
      <c r="O169">
        <f>IF(N169="","",INDEX(avaliacoes_cursos[escola],M169))</f>
        <v/>
      </c>
      <c r="P169">
        <f>IF(N169="","",INDEX(avaliacoes_cursos[Nota média],M169))</f>
        <v/>
      </c>
      <c r="Q169">
        <f>IF(N169="","",IF(COUNTIF(avaliacoes_cursos[curso],N169)&gt;1,N169&amp;" — "&amp;O169,N169))</f>
        <v/>
      </c>
      <c r="R169">
        <f>IF(P169="","",P169+(1000-M169)/10000000)</f>
        <v/>
      </c>
    </row>
    <row r="170">
      <c r="A170" t="n">
        <v>169</v>
      </c>
      <c r="B170">
        <f>IF(A170&gt;ROWS(avaliacoes_qualidade[escola]),"",INDEX(avaliacoes_qualidade[escola],A170))</f>
        <v/>
      </c>
      <c r="C170">
        <f>IF(B170="","",INDEX(avaliacoes_qualidade[Nota média],A170))</f>
        <v/>
      </c>
      <c r="D170">
        <f>IF(B170="","",INDEX(avaliacoes_qualidade[Avaliações],A170))</f>
        <v/>
      </c>
      <c r="E170">
        <f>IF(B170="","",IFERROR(INDEX(escolas[Column1.tipo],MATCH(B170,escolas[Column1.nome],0)),"—"))</f>
        <v/>
      </c>
      <c r="F170">
        <f>IF(B170="","",SUMPRODUCT(MAX((RIGHT(B170,LEN(enderecos_escolas[cidade])+1)=" "&amp;enderecos_escolas[cidade])*LEN(enderecos_escolas[cidade]))))</f>
        <v/>
      </c>
      <c r="G170">
        <f>IF(B170="","",IFERROR(INDEX(enderecos_escolas[estado],MATCH(1,INDEX((RIGHT(B170,LEN(enderecos_escolas[cidade])+1)=" "&amp;enderecos_escolas[cidade])*(LEN(enderecos_escolas[cidade])=F170),0),0)),"—"))</f>
        <v/>
      </c>
      <c r="H170">
        <f>IF(B170="","",IFERROR(VLOOKUP(G170,'Parâmetros'!$A$5:$B$31,2,FALSE),"Não localizada"))</f>
        <v/>
      </c>
      <c r="I170">
        <f>IF(B170="","",IFERROR(INDEX(enderecos_escolas[tipoLocalizacao],MATCH(1,INDEX((RIGHT(B170,LEN(enderecos_escolas[cidade])+1)=" "&amp;enderecos_escolas[cidade])*(LEN(enderecos_escolas[cidade])=F170),0),0)),"—"))</f>
        <v/>
      </c>
      <c r="K170">
        <f>IF(C170="","",IF(AND(OR('Ranking Escolas'!$F$4="Todas",H170='Ranking Escolas'!$F$4),OR('Ranking Escolas'!$I$4="Todos",E170='Ranking Escolas'!$I$4)),C170+(1000-A170)/10000000,""))</f>
        <v/>
      </c>
      <c r="M170" t="n">
        <v>169</v>
      </c>
      <c r="N170">
        <f>IF(M170&gt;ROWS(avaliacoes_cursos[curso]),"",INDEX(avaliacoes_cursos[curso],M170))</f>
        <v/>
      </c>
      <c r="O170">
        <f>IF(N170="","",INDEX(avaliacoes_cursos[escola],M170))</f>
        <v/>
      </c>
      <c r="P170">
        <f>IF(N170="","",INDEX(avaliacoes_cursos[Nota média],M170))</f>
        <v/>
      </c>
      <c r="Q170">
        <f>IF(N170="","",IF(COUNTIF(avaliacoes_cursos[curso],N170)&gt;1,N170&amp;" — "&amp;O170,N170))</f>
        <v/>
      </c>
      <c r="R170">
        <f>IF(P170="","",P170+(1000-M170)/10000000)</f>
        <v/>
      </c>
    </row>
    <row r="171">
      <c r="A171" t="n">
        <v>170</v>
      </c>
      <c r="B171">
        <f>IF(A171&gt;ROWS(avaliacoes_qualidade[escola]),"",INDEX(avaliacoes_qualidade[escola],A171))</f>
        <v/>
      </c>
      <c r="C171">
        <f>IF(B171="","",INDEX(avaliacoes_qualidade[Nota média],A171))</f>
        <v/>
      </c>
      <c r="D171">
        <f>IF(B171="","",INDEX(avaliacoes_qualidade[Avaliações],A171))</f>
        <v/>
      </c>
      <c r="E171">
        <f>IF(B171="","",IFERROR(INDEX(escolas[Column1.tipo],MATCH(B171,escolas[Column1.nome],0)),"—"))</f>
        <v/>
      </c>
      <c r="F171">
        <f>IF(B171="","",SUMPRODUCT(MAX((RIGHT(B171,LEN(enderecos_escolas[cidade])+1)=" "&amp;enderecos_escolas[cidade])*LEN(enderecos_escolas[cidade]))))</f>
        <v/>
      </c>
      <c r="G171">
        <f>IF(B171="","",IFERROR(INDEX(enderecos_escolas[estado],MATCH(1,INDEX((RIGHT(B171,LEN(enderecos_escolas[cidade])+1)=" "&amp;enderecos_escolas[cidade])*(LEN(enderecos_escolas[cidade])=F171),0),0)),"—"))</f>
        <v/>
      </c>
      <c r="H171">
        <f>IF(B171="","",IFERROR(VLOOKUP(G171,'Parâmetros'!$A$5:$B$31,2,FALSE),"Não localizada"))</f>
        <v/>
      </c>
      <c r="I171">
        <f>IF(B171="","",IFERROR(INDEX(enderecos_escolas[tipoLocalizacao],MATCH(1,INDEX((RIGHT(B171,LEN(enderecos_escolas[cidade])+1)=" "&amp;enderecos_escolas[cidade])*(LEN(enderecos_escolas[cidade])=F171),0),0)),"—"))</f>
        <v/>
      </c>
      <c r="K171">
        <f>IF(C171="","",IF(AND(OR('Ranking Escolas'!$F$4="Todas",H171='Ranking Escolas'!$F$4),OR('Ranking Escolas'!$I$4="Todos",E171='Ranking Escolas'!$I$4)),C171+(1000-A171)/10000000,""))</f>
        <v/>
      </c>
      <c r="M171" t="n">
        <v>170</v>
      </c>
      <c r="N171">
        <f>IF(M171&gt;ROWS(avaliacoes_cursos[curso]),"",INDEX(avaliacoes_cursos[curso],M171))</f>
        <v/>
      </c>
      <c r="O171">
        <f>IF(N171="","",INDEX(avaliacoes_cursos[escola],M171))</f>
        <v/>
      </c>
      <c r="P171">
        <f>IF(N171="","",INDEX(avaliacoes_cursos[Nota média],M171))</f>
        <v/>
      </c>
      <c r="Q171">
        <f>IF(N171="","",IF(COUNTIF(avaliacoes_cursos[curso],N171)&gt;1,N171&amp;" — "&amp;O171,N171))</f>
        <v/>
      </c>
      <c r="R171">
        <f>IF(P171="","",P171+(1000-M171)/10000000)</f>
        <v/>
      </c>
    </row>
    <row r="172">
      <c r="A172" t="n">
        <v>171</v>
      </c>
      <c r="B172">
        <f>IF(A172&gt;ROWS(avaliacoes_qualidade[escola]),"",INDEX(avaliacoes_qualidade[escola],A172))</f>
        <v/>
      </c>
      <c r="C172">
        <f>IF(B172="","",INDEX(avaliacoes_qualidade[Nota média],A172))</f>
        <v/>
      </c>
      <c r="D172">
        <f>IF(B172="","",INDEX(avaliacoes_qualidade[Avaliações],A172))</f>
        <v/>
      </c>
      <c r="E172">
        <f>IF(B172="","",IFERROR(INDEX(escolas[Column1.tipo],MATCH(B172,escolas[Column1.nome],0)),"—"))</f>
        <v/>
      </c>
      <c r="F172">
        <f>IF(B172="","",SUMPRODUCT(MAX((RIGHT(B172,LEN(enderecos_escolas[cidade])+1)=" "&amp;enderecos_escolas[cidade])*LEN(enderecos_escolas[cidade]))))</f>
        <v/>
      </c>
      <c r="G172">
        <f>IF(B172="","",IFERROR(INDEX(enderecos_escolas[estado],MATCH(1,INDEX((RIGHT(B172,LEN(enderecos_escolas[cidade])+1)=" "&amp;enderecos_escolas[cidade])*(LEN(enderecos_escolas[cidade])=F172),0),0)),"—"))</f>
        <v/>
      </c>
      <c r="H172">
        <f>IF(B172="","",IFERROR(VLOOKUP(G172,'Parâmetros'!$A$5:$B$31,2,FALSE),"Não localizada"))</f>
        <v/>
      </c>
      <c r="I172">
        <f>IF(B172="","",IFERROR(INDEX(enderecos_escolas[tipoLocalizacao],MATCH(1,INDEX((RIGHT(B172,LEN(enderecos_escolas[cidade])+1)=" "&amp;enderecos_escolas[cidade])*(LEN(enderecos_escolas[cidade])=F172),0),0)),"—"))</f>
        <v/>
      </c>
      <c r="K172">
        <f>IF(C172="","",IF(AND(OR('Ranking Escolas'!$F$4="Todas",H172='Ranking Escolas'!$F$4),OR('Ranking Escolas'!$I$4="Todos",E172='Ranking Escolas'!$I$4)),C172+(1000-A172)/10000000,""))</f>
        <v/>
      </c>
      <c r="M172" t="n">
        <v>171</v>
      </c>
      <c r="N172">
        <f>IF(M172&gt;ROWS(avaliacoes_cursos[curso]),"",INDEX(avaliacoes_cursos[curso],M172))</f>
        <v/>
      </c>
      <c r="O172">
        <f>IF(N172="","",INDEX(avaliacoes_cursos[escola],M172))</f>
        <v/>
      </c>
      <c r="P172">
        <f>IF(N172="","",INDEX(avaliacoes_cursos[Nota média],M172))</f>
        <v/>
      </c>
      <c r="Q172">
        <f>IF(N172="","",IF(COUNTIF(avaliacoes_cursos[curso],N172)&gt;1,N172&amp;" — "&amp;O172,N172))</f>
        <v/>
      </c>
      <c r="R172">
        <f>IF(P172="","",P172+(1000-M172)/10000000)</f>
        <v/>
      </c>
    </row>
    <row r="173">
      <c r="A173" t="n">
        <v>172</v>
      </c>
      <c r="B173">
        <f>IF(A173&gt;ROWS(avaliacoes_qualidade[escola]),"",INDEX(avaliacoes_qualidade[escola],A173))</f>
        <v/>
      </c>
      <c r="C173">
        <f>IF(B173="","",INDEX(avaliacoes_qualidade[Nota média],A173))</f>
        <v/>
      </c>
      <c r="D173">
        <f>IF(B173="","",INDEX(avaliacoes_qualidade[Avaliações],A173))</f>
        <v/>
      </c>
      <c r="E173">
        <f>IF(B173="","",IFERROR(INDEX(escolas[Column1.tipo],MATCH(B173,escolas[Column1.nome],0)),"—"))</f>
        <v/>
      </c>
      <c r="F173">
        <f>IF(B173="","",SUMPRODUCT(MAX((RIGHT(B173,LEN(enderecos_escolas[cidade])+1)=" "&amp;enderecos_escolas[cidade])*LEN(enderecos_escolas[cidade]))))</f>
        <v/>
      </c>
      <c r="G173">
        <f>IF(B173="","",IFERROR(INDEX(enderecos_escolas[estado],MATCH(1,INDEX((RIGHT(B173,LEN(enderecos_escolas[cidade])+1)=" "&amp;enderecos_escolas[cidade])*(LEN(enderecos_escolas[cidade])=F173),0),0)),"—"))</f>
        <v/>
      </c>
      <c r="H173">
        <f>IF(B173="","",IFERROR(VLOOKUP(G173,'Parâmetros'!$A$5:$B$31,2,FALSE),"Não localizada"))</f>
        <v/>
      </c>
      <c r="I173">
        <f>IF(B173="","",IFERROR(INDEX(enderecos_escolas[tipoLocalizacao],MATCH(1,INDEX((RIGHT(B173,LEN(enderecos_escolas[cidade])+1)=" "&amp;enderecos_escolas[cidade])*(LEN(enderecos_escolas[cidade])=F173),0),0)),"—"))</f>
        <v/>
      </c>
      <c r="K173">
        <f>IF(C173="","",IF(AND(OR('Ranking Escolas'!$F$4="Todas",H173='Ranking Escolas'!$F$4),OR('Ranking Escolas'!$I$4="Todos",E173='Ranking Escolas'!$I$4)),C173+(1000-A173)/10000000,""))</f>
        <v/>
      </c>
      <c r="M173" t="n">
        <v>172</v>
      </c>
      <c r="N173">
        <f>IF(M173&gt;ROWS(avaliacoes_cursos[curso]),"",INDEX(avaliacoes_cursos[curso],M173))</f>
        <v/>
      </c>
      <c r="O173">
        <f>IF(N173="","",INDEX(avaliacoes_cursos[escola],M173))</f>
        <v/>
      </c>
      <c r="P173">
        <f>IF(N173="","",INDEX(avaliacoes_cursos[Nota média],M173))</f>
        <v/>
      </c>
      <c r="Q173">
        <f>IF(N173="","",IF(COUNTIF(avaliacoes_cursos[curso],N173)&gt;1,N173&amp;" — "&amp;O173,N173))</f>
        <v/>
      </c>
      <c r="R173">
        <f>IF(P173="","",P173+(1000-M173)/10000000)</f>
        <v/>
      </c>
    </row>
    <row r="174">
      <c r="A174" t="n">
        <v>173</v>
      </c>
      <c r="B174">
        <f>IF(A174&gt;ROWS(avaliacoes_qualidade[escola]),"",INDEX(avaliacoes_qualidade[escola],A174))</f>
        <v/>
      </c>
      <c r="C174">
        <f>IF(B174="","",INDEX(avaliacoes_qualidade[Nota média],A174))</f>
        <v/>
      </c>
      <c r="D174">
        <f>IF(B174="","",INDEX(avaliacoes_qualidade[Avaliações],A174))</f>
        <v/>
      </c>
      <c r="E174">
        <f>IF(B174="","",IFERROR(INDEX(escolas[Column1.tipo],MATCH(B174,escolas[Column1.nome],0)),"—"))</f>
        <v/>
      </c>
      <c r="F174">
        <f>IF(B174="","",SUMPRODUCT(MAX((RIGHT(B174,LEN(enderecos_escolas[cidade])+1)=" "&amp;enderecos_escolas[cidade])*LEN(enderecos_escolas[cidade]))))</f>
        <v/>
      </c>
      <c r="G174">
        <f>IF(B174="","",IFERROR(INDEX(enderecos_escolas[estado],MATCH(1,INDEX((RIGHT(B174,LEN(enderecos_escolas[cidade])+1)=" "&amp;enderecos_escolas[cidade])*(LEN(enderecos_escolas[cidade])=F174),0),0)),"—"))</f>
        <v/>
      </c>
      <c r="H174">
        <f>IF(B174="","",IFERROR(VLOOKUP(G174,'Parâmetros'!$A$5:$B$31,2,FALSE),"Não localizada"))</f>
        <v/>
      </c>
      <c r="I174">
        <f>IF(B174="","",IFERROR(INDEX(enderecos_escolas[tipoLocalizacao],MATCH(1,INDEX((RIGHT(B174,LEN(enderecos_escolas[cidade])+1)=" "&amp;enderecos_escolas[cidade])*(LEN(enderecos_escolas[cidade])=F174),0),0)),"—"))</f>
        <v/>
      </c>
      <c r="K174">
        <f>IF(C174="","",IF(AND(OR('Ranking Escolas'!$F$4="Todas",H174='Ranking Escolas'!$F$4),OR('Ranking Escolas'!$I$4="Todos",E174='Ranking Escolas'!$I$4)),C174+(1000-A174)/10000000,""))</f>
        <v/>
      </c>
      <c r="M174" t="n">
        <v>173</v>
      </c>
      <c r="N174">
        <f>IF(M174&gt;ROWS(avaliacoes_cursos[curso]),"",INDEX(avaliacoes_cursos[curso],M174))</f>
        <v/>
      </c>
      <c r="O174">
        <f>IF(N174="","",INDEX(avaliacoes_cursos[escola],M174))</f>
        <v/>
      </c>
      <c r="P174">
        <f>IF(N174="","",INDEX(avaliacoes_cursos[Nota média],M174))</f>
        <v/>
      </c>
      <c r="Q174">
        <f>IF(N174="","",IF(COUNTIF(avaliacoes_cursos[curso],N174)&gt;1,N174&amp;" — "&amp;O174,N174))</f>
        <v/>
      </c>
      <c r="R174">
        <f>IF(P174="","",P174+(1000-M174)/10000000)</f>
        <v/>
      </c>
    </row>
    <row r="175">
      <c r="A175" t="n">
        <v>174</v>
      </c>
      <c r="B175">
        <f>IF(A175&gt;ROWS(avaliacoes_qualidade[escola]),"",INDEX(avaliacoes_qualidade[escola],A175))</f>
        <v/>
      </c>
      <c r="C175">
        <f>IF(B175="","",INDEX(avaliacoes_qualidade[Nota média],A175))</f>
        <v/>
      </c>
      <c r="D175">
        <f>IF(B175="","",INDEX(avaliacoes_qualidade[Avaliações],A175))</f>
        <v/>
      </c>
      <c r="E175">
        <f>IF(B175="","",IFERROR(INDEX(escolas[Column1.tipo],MATCH(B175,escolas[Column1.nome],0)),"—"))</f>
        <v/>
      </c>
      <c r="F175">
        <f>IF(B175="","",SUMPRODUCT(MAX((RIGHT(B175,LEN(enderecos_escolas[cidade])+1)=" "&amp;enderecos_escolas[cidade])*LEN(enderecos_escolas[cidade]))))</f>
        <v/>
      </c>
      <c r="G175">
        <f>IF(B175="","",IFERROR(INDEX(enderecos_escolas[estado],MATCH(1,INDEX((RIGHT(B175,LEN(enderecos_escolas[cidade])+1)=" "&amp;enderecos_escolas[cidade])*(LEN(enderecos_escolas[cidade])=F175),0),0)),"—"))</f>
        <v/>
      </c>
      <c r="H175">
        <f>IF(B175="","",IFERROR(VLOOKUP(G175,'Parâmetros'!$A$5:$B$31,2,FALSE),"Não localizada"))</f>
        <v/>
      </c>
      <c r="I175">
        <f>IF(B175="","",IFERROR(INDEX(enderecos_escolas[tipoLocalizacao],MATCH(1,INDEX((RIGHT(B175,LEN(enderecos_escolas[cidade])+1)=" "&amp;enderecos_escolas[cidade])*(LEN(enderecos_escolas[cidade])=F175),0),0)),"—"))</f>
        <v/>
      </c>
      <c r="K175">
        <f>IF(C175="","",IF(AND(OR('Ranking Escolas'!$F$4="Todas",H175='Ranking Escolas'!$F$4),OR('Ranking Escolas'!$I$4="Todos",E175='Ranking Escolas'!$I$4)),C175+(1000-A175)/10000000,""))</f>
        <v/>
      </c>
      <c r="M175" t="n">
        <v>174</v>
      </c>
      <c r="N175">
        <f>IF(M175&gt;ROWS(avaliacoes_cursos[curso]),"",INDEX(avaliacoes_cursos[curso],M175))</f>
        <v/>
      </c>
      <c r="O175">
        <f>IF(N175="","",INDEX(avaliacoes_cursos[escola],M175))</f>
        <v/>
      </c>
      <c r="P175">
        <f>IF(N175="","",INDEX(avaliacoes_cursos[Nota média],M175))</f>
        <v/>
      </c>
      <c r="Q175">
        <f>IF(N175="","",IF(COUNTIF(avaliacoes_cursos[curso],N175)&gt;1,N175&amp;" — "&amp;O175,N175))</f>
        <v/>
      </c>
      <c r="R175">
        <f>IF(P175="","",P175+(1000-M175)/10000000)</f>
        <v/>
      </c>
    </row>
    <row r="176">
      <c r="A176" t="n">
        <v>175</v>
      </c>
      <c r="B176">
        <f>IF(A176&gt;ROWS(avaliacoes_qualidade[escola]),"",INDEX(avaliacoes_qualidade[escola],A176))</f>
        <v/>
      </c>
      <c r="C176">
        <f>IF(B176="","",INDEX(avaliacoes_qualidade[Nota média],A176))</f>
        <v/>
      </c>
      <c r="D176">
        <f>IF(B176="","",INDEX(avaliacoes_qualidade[Avaliações],A176))</f>
        <v/>
      </c>
      <c r="E176">
        <f>IF(B176="","",IFERROR(INDEX(escolas[Column1.tipo],MATCH(B176,escolas[Column1.nome],0)),"—"))</f>
        <v/>
      </c>
      <c r="F176">
        <f>IF(B176="","",SUMPRODUCT(MAX((RIGHT(B176,LEN(enderecos_escolas[cidade])+1)=" "&amp;enderecos_escolas[cidade])*LEN(enderecos_escolas[cidade]))))</f>
        <v/>
      </c>
      <c r="G176">
        <f>IF(B176="","",IFERROR(INDEX(enderecos_escolas[estado],MATCH(1,INDEX((RIGHT(B176,LEN(enderecos_escolas[cidade])+1)=" "&amp;enderecos_escolas[cidade])*(LEN(enderecos_escolas[cidade])=F176),0),0)),"—"))</f>
        <v/>
      </c>
      <c r="H176">
        <f>IF(B176="","",IFERROR(VLOOKUP(G176,'Parâmetros'!$A$5:$B$31,2,FALSE),"Não localizada"))</f>
        <v/>
      </c>
      <c r="I176">
        <f>IF(B176="","",IFERROR(INDEX(enderecos_escolas[tipoLocalizacao],MATCH(1,INDEX((RIGHT(B176,LEN(enderecos_escolas[cidade])+1)=" "&amp;enderecos_escolas[cidade])*(LEN(enderecos_escolas[cidade])=F176),0),0)),"—"))</f>
        <v/>
      </c>
      <c r="K176">
        <f>IF(C176="","",IF(AND(OR('Ranking Escolas'!$F$4="Todas",H176='Ranking Escolas'!$F$4),OR('Ranking Escolas'!$I$4="Todos",E176='Ranking Escolas'!$I$4)),C176+(1000-A176)/10000000,""))</f>
        <v/>
      </c>
      <c r="M176" t="n">
        <v>175</v>
      </c>
      <c r="N176">
        <f>IF(M176&gt;ROWS(avaliacoes_cursos[curso]),"",INDEX(avaliacoes_cursos[curso],M176))</f>
        <v/>
      </c>
      <c r="O176">
        <f>IF(N176="","",INDEX(avaliacoes_cursos[escola],M176))</f>
        <v/>
      </c>
      <c r="P176">
        <f>IF(N176="","",INDEX(avaliacoes_cursos[Nota média],M176))</f>
        <v/>
      </c>
      <c r="Q176">
        <f>IF(N176="","",IF(COUNTIF(avaliacoes_cursos[curso],N176)&gt;1,N176&amp;" — "&amp;O176,N176))</f>
        <v/>
      </c>
      <c r="R176">
        <f>IF(P176="","",P176+(1000-M176)/10000000)</f>
        <v/>
      </c>
    </row>
    <row r="177">
      <c r="A177" t="n">
        <v>176</v>
      </c>
      <c r="B177">
        <f>IF(A177&gt;ROWS(avaliacoes_qualidade[escola]),"",INDEX(avaliacoes_qualidade[escola],A177))</f>
        <v/>
      </c>
      <c r="C177">
        <f>IF(B177="","",INDEX(avaliacoes_qualidade[Nota média],A177))</f>
        <v/>
      </c>
      <c r="D177">
        <f>IF(B177="","",INDEX(avaliacoes_qualidade[Avaliações],A177))</f>
        <v/>
      </c>
      <c r="E177">
        <f>IF(B177="","",IFERROR(INDEX(escolas[Column1.tipo],MATCH(B177,escolas[Column1.nome],0)),"—"))</f>
        <v/>
      </c>
      <c r="F177">
        <f>IF(B177="","",SUMPRODUCT(MAX((RIGHT(B177,LEN(enderecos_escolas[cidade])+1)=" "&amp;enderecos_escolas[cidade])*LEN(enderecos_escolas[cidade]))))</f>
        <v/>
      </c>
      <c r="G177">
        <f>IF(B177="","",IFERROR(INDEX(enderecos_escolas[estado],MATCH(1,INDEX((RIGHT(B177,LEN(enderecos_escolas[cidade])+1)=" "&amp;enderecos_escolas[cidade])*(LEN(enderecos_escolas[cidade])=F177),0),0)),"—"))</f>
        <v/>
      </c>
      <c r="H177">
        <f>IF(B177="","",IFERROR(VLOOKUP(G177,'Parâmetros'!$A$5:$B$31,2,FALSE),"Não localizada"))</f>
        <v/>
      </c>
      <c r="I177">
        <f>IF(B177="","",IFERROR(INDEX(enderecos_escolas[tipoLocalizacao],MATCH(1,INDEX((RIGHT(B177,LEN(enderecos_escolas[cidade])+1)=" "&amp;enderecos_escolas[cidade])*(LEN(enderecos_escolas[cidade])=F177),0),0)),"—"))</f>
        <v/>
      </c>
      <c r="K177">
        <f>IF(C177="","",IF(AND(OR('Ranking Escolas'!$F$4="Todas",H177='Ranking Escolas'!$F$4),OR('Ranking Escolas'!$I$4="Todos",E177='Ranking Escolas'!$I$4)),C177+(1000-A177)/10000000,""))</f>
        <v/>
      </c>
      <c r="M177" t="n">
        <v>176</v>
      </c>
      <c r="N177">
        <f>IF(M177&gt;ROWS(avaliacoes_cursos[curso]),"",INDEX(avaliacoes_cursos[curso],M177))</f>
        <v/>
      </c>
      <c r="O177">
        <f>IF(N177="","",INDEX(avaliacoes_cursos[escola],M177))</f>
        <v/>
      </c>
      <c r="P177">
        <f>IF(N177="","",INDEX(avaliacoes_cursos[Nota média],M177))</f>
        <v/>
      </c>
      <c r="Q177">
        <f>IF(N177="","",IF(COUNTIF(avaliacoes_cursos[curso],N177)&gt;1,N177&amp;" — "&amp;O177,N177))</f>
        <v/>
      </c>
      <c r="R177">
        <f>IF(P177="","",P177+(1000-M177)/10000000)</f>
        <v/>
      </c>
    </row>
    <row r="178">
      <c r="A178" t="n">
        <v>177</v>
      </c>
      <c r="B178">
        <f>IF(A178&gt;ROWS(avaliacoes_qualidade[escola]),"",INDEX(avaliacoes_qualidade[escola],A178))</f>
        <v/>
      </c>
      <c r="C178">
        <f>IF(B178="","",INDEX(avaliacoes_qualidade[Nota média],A178))</f>
        <v/>
      </c>
      <c r="D178">
        <f>IF(B178="","",INDEX(avaliacoes_qualidade[Avaliações],A178))</f>
        <v/>
      </c>
      <c r="E178">
        <f>IF(B178="","",IFERROR(INDEX(escolas[Column1.tipo],MATCH(B178,escolas[Column1.nome],0)),"—"))</f>
        <v/>
      </c>
      <c r="F178">
        <f>IF(B178="","",SUMPRODUCT(MAX((RIGHT(B178,LEN(enderecos_escolas[cidade])+1)=" "&amp;enderecos_escolas[cidade])*LEN(enderecos_escolas[cidade]))))</f>
        <v/>
      </c>
      <c r="G178">
        <f>IF(B178="","",IFERROR(INDEX(enderecos_escolas[estado],MATCH(1,INDEX((RIGHT(B178,LEN(enderecos_escolas[cidade])+1)=" "&amp;enderecos_escolas[cidade])*(LEN(enderecos_escolas[cidade])=F178),0),0)),"—"))</f>
        <v/>
      </c>
      <c r="H178">
        <f>IF(B178="","",IFERROR(VLOOKUP(G178,'Parâmetros'!$A$5:$B$31,2,FALSE),"Não localizada"))</f>
        <v/>
      </c>
      <c r="I178">
        <f>IF(B178="","",IFERROR(INDEX(enderecos_escolas[tipoLocalizacao],MATCH(1,INDEX((RIGHT(B178,LEN(enderecos_escolas[cidade])+1)=" "&amp;enderecos_escolas[cidade])*(LEN(enderecos_escolas[cidade])=F178),0),0)),"—"))</f>
        <v/>
      </c>
      <c r="K178">
        <f>IF(C178="","",IF(AND(OR('Ranking Escolas'!$F$4="Todas",H178='Ranking Escolas'!$F$4),OR('Ranking Escolas'!$I$4="Todos",E178='Ranking Escolas'!$I$4)),C178+(1000-A178)/10000000,""))</f>
        <v/>
      </c>
      <c r="M178" t="n">
        <v>177</v>
      </c>
      <c r="N178">
        <f>IF(M178&gt;ROWS(avaliacoes_cursos[curso]),"",INDEX(avaliacoes_cursos[curso],M178))</f>
        <v/>
      </c>
      <c r="O178">
        <f>IF(N178="","",INDEX(avaliacoes_cursos[escola],M178))</f>
        <v/>
      </c>
      <c r="P178">
        <f>IF(N178="","",INDEX(avaliacoes_cursos[Nota média],M178))</f>
        <v/>
      </c>
      <c r="Q178">
        <f>IF(N178="","",IF(COUNTIF(avaliacoes_cursos[curso],N178)&gt;1,N178&amp;" — "&amp;O178,N178))</f>
        <v/>
      </c>
      <c r="R178">
        <f>IF(P178="","",P178+(1000-M178)/10000000)</f>
        <v/>
      </c>
    </row>
    <row r="179">
      <c r="A179" t="n">
        <v>178</v>
      </c>
      <c r="B179">
        <f>IF(A179&gt;ROWS(avaliacoes_qualidade[escola]),"",INDEX(avaliacoes_qualidade[escola],A179))</f>
        <v/>
      </c>
      <c r="C179">
        <f>IF(B179="","",INDEX(avaliacoes_qualidade[Nota média],A179))</f>
        <v/>
      </c>
      <c r="D179">
        <f>IF(B179="","",INDEX(avaliacoes_qualidade[Avaliações],A179))</f>
        <v/>
      </c>
      <c r="E179">
        <f>IF(B179="","",IFERROR(INDEX(escolas[Column1.tipo],MATCH(B179,escolas[Column1.nome],0)),"—"))</f>
        <v/>
      </c>
      <c r="F179">
        <f>IF(B179="","",SUMPRODUCT(MAX((RIGHT(B179,LEN(enderecos_escolas[cidade])+1)=" "&amp;enderecos_escolas[cidade])*LEN(enderecos_escolas[cidade]))))</f>
        <v/>
      </c>
      <c r="G179">
        <f>IF(B179="","",IFERROR(INDEX(enderecos_escolas[estado],MATCH(1,INDEX((RIGHT(B179,LEN(enderecos_escolas[cidade])+1)=" "&amp;enderecos_escolas[cidade])*(LEN(enderecos_escolas[cidade])=F179),0),0)),"—"))</f>
        <v/>
      </c>
      <c r="H179">
        <f>IF(B179="","",IFERROR(VLOOKUP(G179,'Parâmetros'!$A$5:$B$31,2,FALSE),"Não localizada"))</f>
        <v/>
      </c>
      <c r="I179">
        <f>IF(B179="","",IFERROR(INDEX(enderecos_escolas[tipoLocalizacao],MATCH(1,INDEX((RIGHT(B179,LEN(enderecos_escolas[cidade])+1)=" "&amp;enderecos_escolas[cidade])*(LEN(enderecos_escolas[cidade])=F179),0),0)),"—"))</f>
        <v/>
      </c>
      <c r="K179">
        <f>IF(C179="","",IF(AND(OR('Ranking Escolas'!$F$4="Todas",H179='Ranking Escolas'!$F$4),OR('Ranking Escolas'!$I$4="Todos",E179='Ranking Escolas'!$I$4)),C179+(1000-A179)/10000000,""))</f>
        <v/>
      </c>
      <c r="M179" t="n">
        <v>178</v>
      </c>
      <c r="N179">
        <f>IF(M179&gt;ROWS(avaliacoes_cursos[curso]),"",INDEX(avaliacoes_cursos[curso],M179))</f>
        <v/>
      </c>
      <c r="O179">
        <f>IF(N179="","",INDEX(avaliacoes_cursos[escola],M179))</f>
        <v/>
      </c>
      <c r="P179">
        <f>IF(N179="","",INDEX(avaliacoes_cursos[Nota média],M179))</f>
        <v/>
      </c>
      <c r="Q179">
        <f>IF(N179="","",IF(COUNTIF(avaliacoes_cursos[curso],N179)&gt;1,N179&amp;" — "&amp;O179,N179))</f>
        <v/>
      </c>
      <c r="R179">
        <f>IF(P179="","",P179+(1000-M179)/10000000)</f>
        <v/>
      </c>
    </row>
    <row r="180">
      <c r="A180" t="n">
        <v>179</v>
      </c>
      <c r="B180">
        <f>IF(A180&gt;ROWS(avaliacoes_qualidade[escola]),"",INDEX(avaliacoes_qualidade[escola],A180))</f>
        <v/>
      </c>
      <c r="C180">
        <f>IF(B180="","",INDEX(avaliacoes_qualidade[Nota média],A180))</f>
        <v/>
      </c>
      <c r="D180">
        <f>IF(B180="","",INDEX(avaliacoes_qualidade[Avaliações],A180))</f>
        <v/>
      </c>
      <c r="E180">
        <f>IF(B180="","",IFERROR(INDEX(escolas[Column1.tipo],MATCH(B180,escolas[Column1.nome],0)),"—"))</f>
        <v/>
      </c>
      <c r="F180">
        <f>IF(B180="","",SUMPRODUCT(MAX((RIGHT(B180,LEN(enderecos_escolas[cidade])+1)=" "&amp;enderecos_escolas[cidade])*LEN(enderecos_escolas[cidade]))))</f>
        <v/>
      </c>
      <c r="G180">
        <f>IF(B180="","",IFERROR(INDEX(enderecos_escolas[estado],MATCH(1,INDEX((RIGHT(B180,LEN(enderecos_escolas[cidade])+1)=" "&amp;enderecos_escolas[cidade])*(LEN(enderecos_escolas[cidade])=F180),0),0)),"—"))</f>
        <v/>
      </c>
      <c r="H180">
        <f>IF(B180="","",IFERROR(VLOOKUP(G180,'Parâmetros'!$A$5:$B$31,2,FALSE),"Não localizada"))</f>
        <v/>
      </c>
      <c r="I180">
        <f>IF(B180="","",IFERROR(INDEX(enderecos_escolas[tipoLocalizacao],MATCH(1,INDEX((RIGHT(B180,LEN(enderecos_escolas[cidade])+1)=" "&amp;enderecos_escolas[cidade])*(LEN(enderecos_escolas[cidade])=F180),0),0)),"—"))</f>
        <v/>
      </c>
      <c r="K180">
        <f>IF(C180="","",IF(AND(OR('Ranking Escolas'!$F$4="Todas",H180='Ranking Escolas'!$F$4),OR('Ranking Escolas'!$I$4="Todos",E180='Ranking Escolas'!$I$4)),C180+(1000-A180)/10000000,""))</f>
        <v/>
      </c>
      <c r="M180" t="n">
        <v>179</v>
      </c>
      <c r="N180">
        <f>IF(M180&gt;ROWS(avaliacoes_cursos[curso]),"",INDEX(avaliacoes_cursos[curso],M180))</f>
        <v/>
      </c>
      <c r="O180">
        <f>IF(N180="","",INDEX(avaliacoes_cursos[escola],M180))</f>
        <v/>
      </c>
      <c r="P180">
        <f>IF(N180="","",INDEX(avaliacoes_cursos[Nota média],M180))</f>
        <v/>
      </c>
      <c r="Q180">
        <f>IF(N180="","",IF(COUNTIF(avaliacoes_cursos[curso],N180)&gt;1,N180&amp;" — "&amp;O180,N180))</f>
        <v/>
      </c>
      <c r="R180">
        <f>IF(P180="","",P180+(1000-M180)/10000000)</f>
        <v/>
      </c>
    </row>
    <row r="181">
      <c r="A181" t="n">
        <v>180</v>
      </c>
      <c r="B181">
        <f>IF(A181&gt;ROWS(avaliacoes_qualidade[escola]),"",INDEX(avaliacoes_qualidade[escola],A181))</f>
        <v/>
      </c>
      <c r="C181">
        <f>IF(B181="","",INDEX(avaliacoes_qualidade[Nota média],A181))</f>
        <v/>
      </c>
      <c r="D181">
        <f>IF(B181="","",INDEX(avaliacoes_qualidade[Avaliações],A181))</f>
        <v/>
      </c>
      <c r="E181">
        <f>IF(B181="","",IFERROR(INDEX(escolas[Column1.tipo],MATCH(B181,escolas[Column1.nome],0)),"—"))</f>
        <v/>
      </c>
      <c r="F181">
        <f>IF(B181="","",SUMPRODUCT(MAX((RIGHT(B181,LEN(enderecos_escolas[cidade])+1)=" "&amp;enderecos_escolas[cidade])*LEN(enderecos_escolas[cidade]))))</f>
        <v/>
      </c>
      <c r="G181">
        <f>IF(B181="","",IFERROR(INDEX(enderecos_escolas[estado],MATCH(1,INDEX((RIGHT(B181,LEN(enderecos_escolas[cidade])+1)=" "&amp;enderecos_escolas[cidade])*(LEN(enderecos_escolas[cidade])=F181),0),0)),"—"))</f>
        <v/>
      </c>
      <c r="H181">
        <f>IF(B181="","",IFERROR(VLOOKUP(G181,'Parâmetros'!$A$5:$B$31,2,FALSE),"Não localizada"))</f>
        <v/>
      </c>
      <c r="I181">
        <f>IF(B181="","",IFERROR(INDEX(enderecos_escolas[tipoLocalizacao],MATCH(1,INDEX((RIGHT(B181,LEN(enderecos_escolas[cidade])+1)=" "&amp;enderecos_escolas[cidade])*(LEN(enderecos_escolas[cidade])=F181),0),0)),"—"))</f>
        <v/>
      </c>
      <c r="K181">
        <f>IF(C181="","",IF(AND(OR('Ranking Escolas'!$F$4="Todas",H181='Ranking Escolas'!$F$4),OR('Ranking Escolas'!$I$4="Todos",E181='Ranking Escolas'!$I$4)),C181+(1000-A181)/10000000,""))</f>
        <v/>
      </c>
      <c r="M181" t="n">
        <v>180</v>
      </c>
      <c r="N181">
        <f>IF(M181&gt;ROWS(avaliacoes_cursos[curso]),"",INDEX(avaliacoes_cursos[curso],M181))</f>
        <v/>
      </c>
      <c r="O181">
        <f>IF(N181="","",INDEX(avaliacoes_cursos[escola],M181))</f>
        <v/>
      </c>
      <c r="P181">
        <f>IF(N181="","",INDEX(avaliacoes_cursos[Nota média],M181))</f>
        <v/>
      </c>
      <c r="Q181">
        <f>IF(N181="","",IF(COUNTIF(avaliacoes_cursos[curso],N181)&gt;1,N181&amp;" — "&amp;O181,N181))</f>
        <v/>
      </c>
      <c r="R181">
        <f>IF(P181="","",P181+(1000-M181)/10000000)</f>
        <v/>
      </c>
    </row>
    <row r="182">
      <c r="A182" t="n">
        <v>181</v>
      </c>
      <c r="B182">
        <f>IF(A182&gt;ROWS(avaliacoes_qualidade[escola]),"",INDEX(avaliacoes_qualidade[escola],A182))</f>
        <v/>
      </c>
      <c r="C182">
        <f>IF(B182="","",INDEX(avaliacoes_qualidade[Nota média],A182))</f>
        <v/>
      </c>
      <c r="D182">
        <f>IF(B182="","",INDEX(avaliacoes_qualidade[Avaliações],A182))</f>
        <v/>
      </c>
      <c r="E182">
        <f>IF(B182="","",IFERROR(INDEX(escolas[Column1.tipo],MATCH(B182,escolas[Column1.nome],0)),"—"))</f>
        <v/>
      </c>
      <c r="F182">
        <f>IF(B182="","",SUMPRODUCT(MAX((RIGHT(B182,LEN(enderecos_escolas[cidade])+1)=" "&amp;enderecos_escolas[cidade])*LEN(enderecos_escolas[cidade]))))</f>
        <v/>
      </c>
      <c r="G182">
        <f>IF(B182="","",IFERROR(INDEX(enderecos_escolas[estado],MATCH(1,INDEX((RIGHT(B182,LEN(enderecos_escolas[cidade])+1)=" "&amp;enderecos_escolas[cidade])*(LEN(enderecos_escolas[cidade])=F182),0),0)),"—"))</f>
        <v/>
      </c>
      <c r="H182">
        <f>IF(B182="","",IFERROR(VLOOKUP(G182,'Parâmetros'!$A$5:$B$31,2,FALSE),"Não localizada"))</f>
        <v/>
      </c>
      <c r="I182">
        <f>IF(B182="","",IFERROR(INDEX(enderecos_escolas[tipoLocalizacao],MATCH(1,INDEX((RIGHT(B182,LEN(enderecos_escolas[cidade])+1)=" "&amp;enderecos_escolas[cidade])*(LEN(enderecos_escolas[cidade])=F182),0),0)),"—"))</f>
        <v/>
      </c>
      <c r="K182">
        <f>IF(C182="","",IF(AND(OR('Ranking Escolas'!$F$4="Todas",H182='Ranking Escolas'!$F$4),OR('Ranking Escolas'!$I$4="Todos",E182='Ranking Escolas'!$I$4)),C182+(1000-A182)/10000000,""))</f>
        <v/>
      </c>
      <c r="M182" t="n">
        <v>181</v>
      </c>
      <c r="N182">
        <f>IF(M182&gt;ROWS(avaliacoes_cursos[curso]),"",INDEX(avaliacoes_cursos[curso],M182))</f>
        <v/>
      </c>
      <c r="O182">
        <f>IF(N182="","",INDEX(avaliacoes_cursos[escola],M182))</f>
        <v/>
      </c>
      <c r="P182">
        <f>IF(N182="","",INDEX(avaliacoes_cursos[Nota média],M182))</f>
        <v/>
      </c>
      <c r="Q182">
        <f>IF(N182="","",IF(COUNTIF(avaliacoes_cursos[curso],N182)&gt;1,N182&amp;" — "&amp;O182,N182))</f>
        <v/>
      </c>
      <c r="R182">
        <f>IF(P182="","",P182+(1000-M182)/10000000)</f>
        <v/>
      </c>
    </row>
    <row r="183">
      <c r="A183" t="n">
        <v>182</v>
      </c>
      <c r="B183">
        <f>IF(A183&gt;ROWS(avaliacoes_qualidade[escola]),"",INDEX(avaliacoes_qualidade[escola],A183))</f>
        <v/>
      </c>
      <c r="C183">
        <f>IF(B183="","",INDEX(avaliacoes_qualidade[Nota média],A183))</f>
        <v/>
      </c>
      <c r="D183">
        <f>IF(B183="","",INDEX(avaliacoes_qualidade[Avaliações],A183))</f>
        <v/>
      </c>
      <c r="E183">
        <f>IF(B183="","",IFERROR(INDEX(escolas[Column1.tipo],MATCH(B183,escolas[Column1.nome],0)),"—"))</f>
        <v/>
      </c>
      <c r="F183">
        <f>IF(B183="","",SUMPRODUCT(MAX((RIGHT(B183,LEN(enderecos_escolas[cidade])+1)=" "&amp;enderecos_escolas[cidade])*LEN(enderecos_escolas[cidade]))))</f>
        <v/>
      </c>
      <c r="G183">
        <f>IF(B183="","",IFERROR(INDEX(enderecos_escolas[estado],MATCH(1,INDEX((RIGHT(B183,LEN(enderecos_escolas[cidade])+1)=" "&amp;enderecos_escolas[cidade])*(LEN(enderecos_escolas[cidade])=F183),0),0)),"—"))</f>
        <v/>
      </c>
      <c r="H183">
        <f>IF(B183="","",IFERROR(VLOOKUP(G183,'Parâmetros'!$A$5:$B$31,2,FALSE),"Não localizada"))</f>
        <v/>
      </c>
      <c r="I183">
        <f>IF(B183="","",IFERROR(INDEX(enderecos_escolas[tipoLocalizacao],MATCH(1,INDEX((RIGHT(B183,LEN(enderecos_escolas[cidade])+1)=" "&amp;enderecos_escolas[cidade])*(LEN(enderecos_escolas[cidade])=F183),0),0)),"—"))</f>
        <v/>
      </c>
      <c r="K183">
        <f>IF(C183="","",IF(AND(OR('Ranking Escolas'!$F$4="Todas",H183='Ranking Escolas'!$F$4),OR('Ranking Escolas'!$I$4="Todos",E183='Ranking Escolas'!$I$4)),C183+(1000-A183)/10000000,""))</f>
        <v/>
      </c>
      <c r="M183" t="n">
        <v>182</v>
      </c>
      <c r="N183">
        <f>IF(M183&gt;ROWS(avaliacoes_cursos[curso]),"",INDEX(avaliacoes_cursos[curso],M183))</f>
        <v/>
      </c>
      <c r="O183">
        <f>IF(N183="","",INDEX(avaliacoes_cursos[escola],M183))</f>
        <v/>
      </c>
      <c r="P183">
        <f>IF(N183="","",INDEX(avaliacoes_cursos[Nota média],M183))</f>
        <v/>
      </c>
      <c r="Q183">
        <f>IF(N183="","",IF(COUNTIF(avaliacoes_cursos[curso],N183)&gt;1,N183&amp;" — "&amp;O183,N183))</f>
        <v/>
      </c>
      <c r="R183">
        <f>IF(P183="","",P183+(1000-M183)/10000000)</f>
        <v/>
      </c>
    </row>
    <row r="184">
      <c r="A184" t="n">
        <v>183</v>
      </c>
      <c r="B184">
        <f>IF(A184&gt;ROWS(avaliacoes_qualidade[escola]),"",INDEX(avaliacoes_qualidade[escola],A184))</f>
        <v/>
      </c>
      <c r="C184">
        <f>IF(B184="","",INDEX(avaliacoes_qualidade[Nota média],A184))</f>
        <v/>
      </c>
      <c r="D184">
        <f>IF(B184="","",INDEX(avaliacoes_qualidade[Avaliações],A184))</f>
        <v/>
      </c>
      <c r="E184">
        <f>IF(B184="","",IFERROR(INDEX(escolas[Column1.tipo],MATCH(B184,escolas[Column1.nome],0)),"—"))</f>
        <v/>
      </c>
      <c r="F184">
        <f>IF(B184="","",SUMPRODUCT(MAX((RIGHT(B184,LEN(enderecos_escolas[cidade])+1)=" "&amp;enderecos_escolas[cidade])*LEN(enderecos_escolas[cidade]))))</f>
        <v/>
      </c>
      <c r="G184">
        <f>IF(B184="","",IFERROR(INDEX(enderecos_escolas[estado],MATCH(1,INDEX((RIGHT(B184,LEN(enderecos_escolas[cidade])+1)=" "&amp;enderecos_escolas[cidade])*(LEN(enderecos_escolas[cidade])=F184),0),0)),"—"))</f>
        <v/>
      </c>
      <c r="H184">
        <f>IF(B184="","",IFERROR(VLOOKUP(G184,'Parâmetros'!$A$5:$B$31,2,FALSE),"Não localizada"))</f>
        <v/>
      </c>
      <c r="I184">
        <f>IF(B184="","",IFERROR(INDEX(enderecos_escolas[tipoLocalizacao],MATCH(1,INDEX((RIGHT(B184,LEN(enderecos_escolas[cidade])+1)=" "&amp;enderecos_escolas[cidade])*(LEN(enderecos_escolas[cidade])=F184),0),0)),"—"))</f>
        <v/>
      </c>
      <c r="K184">
        <f>IF(C184="","",IF(AND(OR('Ranking Escolas'!$F$4="Todas",H184='Ranking Escolas'!$F$4),OR('Ranking Escolas'!$I$4="Todos",E184='Ranking Escolas'!$I$4)),C184+(1000-A184)/10000000,""))</f>
        <v/>
      </c>
      <c r="M184" t="n">
        <v>183</v>
      </c>
      <c r="N184">
        <f>IF(M184&gt;ROWS(avaliacoes_cursos[curso]),"",INDEX(avaliacoes_cursos[curso],M184))</f>
        <v/>
      </c>
      <c r="O184">
        <f>IF(N184="","",INDEX(avaliacoes_cursos[escola],M184))</f>
        <v/>
      </c>
      <c r="P184">
        <f>IF(N184="","",INDEX(avaliacoes_cursos[Nota média],M184))</f>
        <v/>
      </c>
      <c r="Q184">
        <f>IF(N184="","",IF(COUNTIF(avaliacoes_cursos[curso],N184)&gt;1,N184&amp;" — "&amp;O184,N184))</f>
        <v/>
      </c>
      <c r="R184">
        <f>IF(P184="","",P184+(1000-M184)/10000000)</f>
        <v/>
      </c>
    </row>
    <row r="185">
      <c r="A185" t="n">
        <v>184</v>
      </c>
      <c r="B185">
        <f>IF(A185&gt;ROWS(avaliacoes_qualidade[escola]),"",INDEX(avaliacoes_qualidade[escola],A185))</f>
        <v/>
      </c>
      <c r="C185">
        <f>IF(B185="","",INDEX(avaliacoes_qualidade[Nota média],A185))</f>
        <v/>
      </c>
      <c r="D185">
        <f>IF(B185="","",INDEX(avaliacoes_qualidade[Avaliações],A185))</f>
        <v/>
      </c>
      <c r="E185">
        <f>IF(B185="","",IFERROR(INDEX(escolas[Column1.tipo],MATCH(B185,escolas[Column1.nome],0)),"—"))</f>
        <v/>
      </c>
      <c r="F185">
        <f>IF(B185="","",SUMPRODUCT(MAX((RIGHT(B185,LEN(enderecos_escolas[cidade])+1)=" "&amp;enderecos_escolas[cidade])*LEN(enderecos_escolas[cidade]))))</f>
        <v/>
      </c>
      <c r="G185">
        <f>IF(B185="","",IFERROR(INDEX(enderecos_escolas[estado],MATCH(1,INDEX((RIGHT(B185,LEN(enderecos_escolas[cidade])+1)=" "&amp;enderecos_escolas[cidade])*(LEN(enderecos_escolas[cidade])=F185),0),0)),"—"))</f>
        <v/>
      </c>
      <c r="H185">
        <f>IF(B185="","",IFERROR(VLOOKUP(G185,'Parâmetros'!$A$5:$B$31,2,FALSE),"Não localizada"))</f>
        <v/>
      </c>
      <c r="I185">
        <f>IF(B185="","",IFERROR(INDEX(enderecos_escolas[tipoLocalizacao],MATCH(1,INDEX((RIGHT(B185,LEN(enderecos_escolas[cidade])+1)=" "&amp;enderecos_escolas[cidade])*(LEN(enderecos_escolas[cidade])=F185),0),0)),"—"))</f>
        <v/>
      </c>
      <c r="K185">
        <f>IF(C185="","",IF(AND(OR('Ranking Escolas'!$F$4="Todas",H185='Ranking Escolas'!$F$4),OR('Ranking Escolas'!$I$4="Todos",E185='Ranking Escolas'!$I$4)),C185+(1000-A185)/10000000,""))</f>
        <v/>
      </c>
      <c r="M185" t="n">
        <v>184</v>
      </c>
      <c r="N185">
        <f>IF(M185&gt;ROWS(avaliacoes_cursos[curso]),"",INDEX(avaliacoes_cursos[curso],M185))</f>
        <v/>
      </c>
      <c r="O185">
        <f>IF(N185="","",INDEX(avaliacoes_cursos[escola],M185))</f>
        <v/>
      </c>
      <c r="P185">
        <f>IF(N185="","",INDEX(avaliacoes_cursos[Nota média],M185))</f>
        <v/>
      </c>
      <c r="Q185">
        <f>IF(N185="","",IF(COUNTIF(avaliacoes_cursos[curso],N185)&gt;1,N185&amp;" — "&amp;O185,N185))</f>
        <v/>
      </c>
      <c r="R185">
        <f>IF(P185="","",P185+(1000-M185)/10000000)</f>
        <v/>
      </c>
    </row>
    <row r="186">
      <c r="A186" t="n">
        <v>185</v>
      </c>
      <c r="B186">
        <f>IF(A186&gt;ROWS(avaliacoes_qualidade[escola]),"",INDEX(avaliacoes_qualidade[escola],A186))</f>
        <v/>
      </c>
      <c r="C186">
        <f>IF(B186="","",INDEX(avaliacoes_qualidade[Nota média],A186))</f>
        <v/>
      </c>
      <c r="D186">
        <f>IF(B186="","",INDEX(avaliacoes_qualidade[Avaliações],A186))</f>
        <v/>
      </c>
      <c r="E186">
        <f>IF(B186="","",IFERROR(INDEX(escolas[Column1.tipo],MATCH(B186,escolas[Column1.nome],0)),"—"))</f>
        <v/>
      </c>
      <c r="F186">
        <f>IF(B186="","",SUMPRODUCT(MAX((RIGHT(B186,LEN(enderecos_escolas[cidade])+1)=" "&amp;enderecos_escolas[cidade])*LEN(enderecos_escolas[cidade]))))</f>
        <v/>
      </c>
      <c r="G186">
        <f>IF(B186="","",IFERROR(INDEX(enderecos_escolas[estado],MATCH(1,INDEX((RIGHT(B186,LEN(enderecos_escolas[cidade])+1)=" "&amp;enderecos_escolas[cidade])*(LEN(enderecos_escolas[cidade])=F186),0),0)),"—"))</f>
        <v/>
      </c>
      <c r="H186">
        <f>IF(B186="","",IFERROR(VLOOKUP(G186,'Parâmetros'!$A$5:$B$31,2,FALSE),"Não localizada"))</f>
        <v/>
      </c>
      <c r="I186">
        <f>IF(B186="","",IFERROR(INDEX(enderecos_escolas[tipoLocalizacao],MATCH(1,INDEX((RIGHT(B186,LEN(enderecos_escolas[cidade])+1)=" "&amp;enderecos_escolas[cidade])*(LEN(enderecos_escolas[cidade])=F186),0),0)),"—"))</f>
        <v/>
      </c>
      <c r="K186">
        <f>IF(C186="","",IF(AND(OR('Ranking Escolas'!$F$4="Todas",H186='Ranking Escolas'!$F$4),OR('Ranking Escolas'!$I$4="Todos",E186='Ranking Escolas'!$I$4)),C186+(1000-A186)/10000000,""))</f>
        <v/>
      </c>
      <c r="M186" t="n">
        <v>185</v>
      </c>
      <c r="N186">
        <f>IF(M186&gt;ROWS(avaliacoes_cursos[curso]),"",INDEX(avaliacoes_cursos[curso],M186))</f>
        <v/>
      </c>
      <c r="O186">
        <f>IF(N186="","",INDEX(avaliacoes_cursos[escola],M186))</f>
        <v/>
      </c>
      <c r="P186">
        <f>IF(N186="","",INDEX(avaliacoes_cursos[Nota média],M186))</f>
        <v/>
      </c>
      <c r="Q186">
        <f>IF(N186="","",IF(COUNTIF(avaliacoes_cursos[curso],N186)&gt;1,N186&amp;" — "&amp;O186,N186))</f>
        <v/>
      </c>
      <c r="R186">
        <f>IF(P186="","",P186+(1000-M186)/10000000)</f>
        <v/>
      </c>
    </row>
    <row r="187">
      <c r="A187" t="n">
        <v>186</v>
      </c>
      <c r="B187">
        <f>IF(A187&gt;ROWS(avaliacoes_qualidade[escola]),"",INDEX(avaliacoes_qualidade[escola],A187))</f>
        <v/>
      </c>
      <c r="C187">
        <f>IF(B187="","",INDEX(avaliacoes_qualidade[Nota média],A187))</f>
        <v/>
      </c>
      <c r="D187">
        <f>IF(B187="","",INDEX(avaliacoes_qualidade[Avaliações],A187))</f>
        <v/>
      </c>
      <c r="E187">
        <f>IF(B187="","",IFERROR(INDEX(escolas[Column1.tipo],MATCH(B187,escolas[Column1.nome],0)),"—"))</f>
        <v/>
      </c>
      <c r="F187">
        <f>IF(B187="","",SUMPRODUCT(MAX((RIGHT(B187,LEN(enderecos_escolas[cidade])+1)=" "&amp;enderecos_escolas[cidade])*LEN(enderecos_escolas[cidade]))))</f>
        <v/>
      </c>
      <c r="G187">
        <f>IF(B187="","",IFERROR(INDEX(enderecos_escolas[estado],MATCH(1,INDEX((RIGHT(B187,LEN(enderecos_escolas[cidade])+1)=" "&amp;enderecos_escolas[cidade])*(LEN(enderecos_escolas[cidade])=F187),0),0)),"—"))</f>
        <v/>
      </c>
      <c r="H187">
        <f>IF(B187="","",IFERROR(VLOOKUP(G187,'Parâmetros'!$A$5:$B$31,2,FALSE),"Não localizada"))</f>
        <v/>
      </c>
      <c r="I187">
        <f>IF(B187="","",IFERROR(INDEX(enderecos_escolas[tipoLocalizacao],MATCH(1,INDEX((RIGHT(B187,LEN(enderecos_escolas[cidade])+1)=" "&amp;enderecos_escolas[cidade])*(LEN(enderecos_escolas[cidade])=F187),0),0)),"—"))</f>
        <v/>
      </c>
      <c r="K187">
        <f>IF(C187="","",IF(AND(OR('Ranking Escolas'!$F$4="Todas",H187='Ranking Escolas'!$F$4),OR('Ranking Escolas'!$I$4="Todos",E187='Ranking Escolas'!$I$4)),C187+(1000-A187)/10000000,""))</f>
        <v/>
      </c>
      <c r="M187" t="n">
        <v>186</v>
      </c>
      <c r="N187">
        <f>IF(M187&gt;ROWS(avaliacoes_cursos[curso]),"",INDEX(avaliacoes_cursos[curso],M187))</f>
        <v/>
      </c>
      <c r="O187">
        <f>IF(N187="","",INDEX(avaliacoes_cursos[escola],M187))</f>
        <v/>
      </c>
      <c r="P187">
        <f>IF(N187="","",INDEX(avaliacoes_cursos[Nota média],M187))</f>
        <v/>
      </c>
      <c r="Q187">
        <f>IF(N187="","",IF(COUNTIF(avaliacoes_cursos[curso],N187)&gt;1,N187&amp;" — "&amp;O187,N187))</f>
        <v/>
      </c>
      <c r="R187">
        <f>IF(P187="","",P187+(1000-M187)/10000000)</f>
        <v/>
      </c>
    </row>
    <row r="188">
      <c r="A188" t="n">
        <v>187</v>
      </c>
      <c r="B188">
        <f>IF(A188&gt;ROWS(avaliacoes_qualidade[escola]),"",INDEX(avaliacoes_qualidade[escola],A188))</f>
        <v/>
      </c>
      <c r="C188">
        <f>IF(B188="","",INDEX(avaliacoes_qualidade[Nota média],A188))</f>
        <v/>
      </c>
      <c r="D188">
        <f>IF(B188="","",INDEX(avaliacoes_qualidade[Avaliações],A188))</f>
        <v/>
      </c>
      <c r="E188">
        <f>IF(B188="","",IFERROR(INDEX(escolas[Column1.tipo],MATCH(B188,escolas[Column1.nome],0)),"—"))</f>
        <v/>
      </c>
      <c r="F188">
        <f>IF(B188="","",SUMPRODUCT(MAX((RIGHT(B188,LEN(enderecos_escolas[cidade])+1)=" "&amp;enderecos_escolas[cidade])*LEN(enderecos_escolas[cidade]))))</f>
        <v/>
      </c>
      <c r="G188">
        <f>IF(B188="","",IFERROR(INDEX(enderecos_escolas[estado],MATCH(1,INDEX((RIGHT(B188,LEN(enderecos_escolas[cidade])+1)=" "&amp;enderecos_escolas[cidade])*(LEN(enderecos_escolas[cidade])=F188),0),0)),"—"))</f>
        <v/>
      </c>
      <c r="H188">
        <f>IF(B188="","",IFERROR(VLOOKUP(G188,'Parâmetros'!$A$5:$B$31,2,FALSE),"Não localizada"))</f>
        <v/>
      </c>
      <c r="I188">
        <f>IF(B188="","",IFERROR(INDEX(enderecos_escolas[tipoLocalizacao],MATCH(1,INDEX((RIGHT(B188,LEN(enderecos_escolas[cidade])+1)=" "&amp;enderecos_escolas[cidade])*(LEN(enderecos_escolas[cidade])=F188),0),0)),"—"))</f>
        <v/>
      </c>
      <c r="K188">
        <f>IF(C188="","",IF(AND(OR('Ranking Escolas'!$F$4="Todas",H188='Ranking Escolas'!$F$4),OR('Ranking Escolas'!$I$4="Todos",E188='Ranking Escolas'!$I$4)),C188+(1000-A188)/10000000,""))</f>
        <v/>
      </c>
      <c r="M188" t="n">
        <v>187</v>
      </c>
      <c r="N188">
        <f>IF(M188&gt;ROWS(avaliacoes_cursos[curso]),"",INDEX(avaliacoes_cursos[curso],M188))</f>
        <v/>
      </c>
      <c r="O188">
        <f>IF(N188="","",INDEX(avaliacoes_cursos[escola],M188))</f>
        <v/>
      </c>
      <c r="P188">
        <f>IF(N188="","",INDEX(avaliacoes_cursos[Nota média],M188))</f>
        <v/>
      </c>
      <c r="Q188">
        <f>IF(N188="","",IF(COUNTIF(avaliacoes_cursos[curso],N188)&gt;1,N188&amp;" — "&amp;O188,N188))</f>
        <v/>
      </c>
      <c r="R188">
        <f>IF(P188="","",P188+(1000-M188)/10000000)</f>
        <v/>
      </c>
    </row>
    <row r="189">
      <c r="A189" t="n">
        <v>188</v>
      </c>
      <c r="B189">
        <f>IF(A189&gt;ROWS(avaliacoes_qualidade[escola]),"",INDEX(avaliacoes_qualidade[escola],A189))</f>
        <v/>
      </c>
      <c r="C189">
        <f>IF(B189="","",INDEX(avaliacoes_qualidade[Nota média],A189))</f>
        <v/>
      </c>
      <c r="D189">
        <f>IF(B189="","",INDEX(avaliacoes_qualidade[Avaliações],A189))</f>
        <v/>
      </c>
      <c r="E189">
        <f>IF(B189="","",IFERROR(INDEX(escolas[Column1.tipo],MATCH(B189,escolas[Column1.nome],0)),"—"))</f>
        <v/>
      </c>
      <c r="F189">
        <f>IF(B189="","",SUMPRODUCT(MAX((RIGHT(B189,LEN(enderecos_escolas[cidade])+1)=" "&amp;enderecos_escolas[cidade])*LEN(enderecos_escolas[cidade]))))</f>
        <v/>
      </c>
      <c r="G189">
        <f>IF(B189="","",IFERROR(INDEX(enderecos_escolas[estado],MATCH(1,INDEX((RIGHT(B189,LEN(enderecos_escolas[cidade])+1)=" "&amp;enderecos_escolas[cidade])*(LEN(enderecos_escolas[cidade])=F189),0),0)),"—"))</f>
        <v/>
      </c>
      <c r="H189">
        <f>IF(B189="","",IFERROR(VLOOKUP(G189,'Parâmetros'!$A$5:$B$31,2,FALSE),"Não localizada"))</f>
        <v/>
      </c>
      <c r="I189">
        <f>IF(B189="","",IFERROR(INDEX(enderecos_escolas[tipoLocalizacao],MATCH(1,INDEX((RIGHT(B189,LEN(enderecos_escolas[cidade])+1)=" "&amp;enderecos_escolas[cidade])*(LEN(enderecos_escolas[cidade])=F189),0),0)),"—"))</f>
        <v/>
      </c>
      <c r="K189">
        <f>IF(C189="","",IF(AND(OR('Ranking Escolas'!$F$4="Todas",H189='Ranking Escolas'!$F$4),OR('Ranking Escolas'!$I$4="Todos",E189='Ranking Escolas'!$I$4)),C189+(1000-A189)/10000000,""))</f>
        <v/>
      </c>
      <c r="M189" t="n">
        <v>188</v>
      </c>
      <c r="N189">
        <f>IF(M189&gt;ROWS(avaliacoes_cursos[curso]),"",INDEX(avaliacoes_cursos[curso],M189))</f>
        <v/>
      </c>
      <c r="O189">
        <f>IF(N189="","",INDEX(avaliacoes_cursos[escola],M189))</f>
        <v/>
      </c>
      <c r="P189">
        <f>IF(N189="","",INDEX(avaliacoes_cursos[Nota média],M189))</f>
        <v/>
      </c>
      <c r="Q189">
        <f>IF(N189="","",IF(COUNTIF(avaliacoes_cursos[curso],N189)&gt;1,N189&amp;" — "&amp;O189,N189))</f>
        <v/>
      </c>
      <c r="R189">
        <f>IF(P189="","",P189+(1000-M189)/10000000)</f>
        <v/>
      </c>
    </row>
    <row r="190">
      <c r="A190" t="n">
        <v>189</v>
      </c>
      <c r="B190">
        <f>IF(A190&gt;ROWS(avaliacoes_qualidade[escola]),"",INDEX(avaliacoes_qualidade[escola],A190))</f>
        <v/>
      </c>
      <c r="C190">
        <f>IF(B190="","",INDEX(avaliacoes_qualidade[Nota média],A190))</f>
        <v/>
      </c>
      <c r="D190">
        <f>IF(B190="","",INDEX(avaliacoes_qualidade[Avaliações],A190))</f>
        <v/>
      </c>
      <c r="E190">
        <f>IF(B190="","",IFERROR(INDEX(escolas[Column1.tipo],MATCH(B190,escolas[Column1.nome],0)),"—"))</f>
        <v/>
      </c>
      <c r="F190">
        <f>IF(B190="","",SUMPRODUCT(MAX((RIGHT(B190,LEN(enderecos_escolas[cidade])+1)=" "&amp;enderecos_escolas[cidade])*LEN(enderecos_escolas[cidade]))))</f>
        <v/>
      </c>
      <c r="G190">
        <f>IF(B190="","",IFERROR(INDEX(enderecos_escolas[estado],MATCH(1,INDEX((RIGHT(B190,LEN(enderecos_escolas[cidade])+1)=" "&amp;enderecos_escolas[cidade])*(LEN(enderecos_escolas[cidade])=F190),0),0)),"—"))</f>
        <v/>
      </c>
      <c r="H190">
        <f>IF(B190="","",IFERROR(VLOOKUP(G190,'Parâmetros'!$A$5:$B$31,2,FALSE),"Não localizada"))</f>
        <v/>
      </c>
      <c r="I190">
        <f>IF(B190="","",IFERROR(INDEX(enderecos_escolas[tipoLocalizacao],MATCH(1,INDEX((RIGHT(B190,LEN(enderecos_escolas[cidade])+1)=" "&amp;enderecos_escolas[cidade])*(LEN(enderecos_escolas[cidade])=F190),0),0)),"—"))</f>
        <v/>
      </c>
      <c r="K190">
        <f>IF(C190="","",IF(AND(OR('Ranking Escolas'!$F$4="Todas",H190='Ranking Escolas'!$F$4),OR('Ranking Escolas'!$I$4="Todos",E190='Ranking Escolas'!$I$4)),C190+(1000-A190)/10000000,""))</f>
        <v/>
      </c>
      <c r="M190" t="n">
        <v>189</v>
      </c>
      <c r="N190">
        <f>IF(M190&gt;ROWS(avaliacoes_cursos[curso]),"",INDEX(avaliacoes_cursos[curso],M190))</f>
        <v/>
      </c>
      <c r="O190">
        <f>IF(N190="","",INDEX(avaliacoes_cursos[escola],M190))</f>
        <v/>
      </c>
      <c r="P190">
        <f>IF(N190="","",INDEX(avaliacoes_cursos[Nota média],M190))</f>
        <v/>
      </c>
      <c r="Q190">
        <f>IF(N190="","",IF(COUNTIF(avaliacoes_cursos[curso],N190)&gt;1,N190&amp;" — "&amp;O190,N190))</f>
        <v/>
      </c>
      <c r="R190">
        <f>IF(P190="","",P190+(1000-M190)/10000000)</f>
        <v/>
      </c>
    </row>
    <row r="191">
      <c r="A191" t="n">
        <v>190</v>
      </c>
      <c r="B191">
        <f>IF(A191&gt;ROWS(avaliacoes_qualidade[escola]),"",INDEX(avaliacoes_qualidade[escola],A191))</f>
        <v/>
      </c>
      <c r="C191">
        <f>IF(B191="","",INDEX(avaliacoes_qualidade[Nota média],A191))</f>
        <v/>
      </c>
      <c r="D191">
        <f>IF(B191="","",INDEX(avaliacoes_qualidade[Avaliações],A191))</f>
        <v/>
      </c>
      <c r="E191">
        <f>IF(B191="","",IFERROR(INDEX(escolas[Column1.tipo],MATCH(B191,escolas[Column1.nome],0)),"—"))</f>
        <v/>
      </c>
      <c r="F191">
        <f>IF(B191="","",SUMPRODUCT(MAX((RIGHT(B191,LEN(enderecos_escolas[cidade])+1)=" "&amp;enderecos_escolas[cidade])*LEN(enderecos_escolas[cidade]))))</f>
        <v/>
      </c>
      <c r="G191">
        <f>IF(B191="","",IFERROR(INDEX(enderecos_escolas[estado],MATCH(1,INDEX((RIGHT(B191,LEN(enderecos_escolas[cidade])+1)=" "&amp;enderecos_escolas[cidade])*(LEN(enderecos_escolas[cidade])=F191),0),0)),"—"))</f>
        <v/>
      </c>
      <c r="H191">
        <f>IF(B191="","",IFERROR(VLOOKUP(G191,'Parâmetros'!$A$5:$B$31,2,FALSE),"Não localizada"))</f>
        <v/>
      </c>
      <c r="I191">
        <f>IF(B191="","",IFERROR(INDEX(enderecos_escolas[tipoLocalizacao],MATCH(1,INDEX((RIGHT(B191,LEN(enderecos_escolas[cidade])+1)=" "&amp;enderecos_escolas[cidade])*(LEN(enderecos_escolas[cidade])=F191),0),0)),"—"))</f>
        <v/>
      </c>
      <c r="K191">
        <f>IF(C191="","",IF(AND(OR('Ranking Escolas'!$F$4="Todas",H191='Ranking Escolas'!$F$4),OR('Ranking Escolas'!$I$4="Todos",E191='Ranking Escolas'!$I$4)),C191+(1000-A191)/10000000,""))</f>
        <v/>
      </c>
      <c r="M191" t="n">
        <v>190</v>
      </c>
      <c r="N191">
        <f>IF(M191&gt;ROWS(avaliacoes_cursos[curso]),"",INDEX(avaliacoes_cursos[curso],M191))</f>
        <v/>
      </c>
      <c r="O191">
        <f>IF(N191="","",INDEX(avaliacoes_cursos[escola],M191))</f>
        <v/>
      </c>
      <c r="P191">
        <f>IF(N191="","",INDEX(avaliacoes_cursos[Nota média],M191))</f>
        <v/>
      </c>
      <c r="Q191">
        <f>IF(N191="","",IF(COUNTIF(avaliacoes_cursos[curso],N191)&gt;1,N191&amp;" — "&amp;O191,N191))</f>
        <v/>
      </c>
      <c r="R191">
        <f>IF(P191="","",P191+(1000-M191)/10000000)</f>
        <v/>
      </c>
    </row>
    <row r="192">
      <c r="A192" t="n">
        <v>191</v>
      </c>
      <c r="B192">
        <f>IF(A192&gt;ROWS(avaliacoes_qualidade[escola]),"",INDEX(avaliacoes_qualidade[escola],A192))</f>
        <v/>
      </c>
      <c r="C192">
        <f>IF(B192="","",INDEX(avaliacoes_qualidade[Nota média],A192))</f>
        <v/>
      </c>
      <c r="D192">
        <f>IF(B192="","",INDEX(avaliacoes_qualidade[Avaliações],A192))</f>
        <v/>
      </c>
      <c r="E192">
        <f>IF(B192="","",IFERROR(INDEX(escolas[Column1.tipo],MATCH(B192,escolas[Column1.nome],0)),"—"))</f>
        <v/>
      </c>
      <c r="F192">
        <f>IF(B192="","",SUMPRODUCT(MAX((RIGHT(B192,LEN(enderecos_escolas[cidade])+1)=" "&amp;enderecos_escolas[cidade])*LEN(enderecos_escolas[cidade]))))</f>
        <v/>
      </c>
      <c r="G192">
        <f>IF(B192="","",IFERROR(INDEX(enderecos_escolas[estado],MATCH(1,INDEX((RIGHT(B192,LEN(enderecos_escolas[cidade])+1)=" "&amp;enderecos_escolas[cidade])*(LEN(enderecos_escolas[cidade])=F192),0),0)),"—"))</f>
        <v/>
      </c>
      <c r="H192">
        <f>IF(B192="","",IFERROR(VLOOKUP(G192,'Parâmetros'!$A$5:$B$31,2,FALSE),"Não localizada"))</f>
        <v/>
      </c>
      <c r="I192">
        <f>IF(B192="","",IFERROR(INDEX(enderecos_escolas[tipoLocalizacao],MATCH(1,INDEX((RIGHT(B192,LEN(enderecos_escolas[cidade])+1)=" "&amp;enderecos_escolas[cidade])*(LEN(enderecos_escolas[cidade])=F192),0),0)),"—"))</f>
        <v/>
      </c>
      <c r="K192">
        <f>IF(C192="","",IF(AND(OR('Ranking Escolas'!$F$4="Todas",H192='Ranking Escolas'!$F$4),OR('Ranking Escolas'!$I$4="Todos",E192='Ranking Escolas'!$I$4)),C192+(1000-A192)/10000000,""))</f>
        <v/>
      </c>
      <c r="M192" t="n">
        <v>191</v>
      </c>
      <c r="N192">
        <f>IF(M192&gt;ROWS(avaliacoes_cursos[curso]),"",INDEX(avaliacoes_cursos[curso],M192))</f>
        <v/>
      </c>
      <c r="O192">
        <f>IF(N192="","",INDEX(avaliacoes_cursos[escola],M192))</f>
        <v/>
      </c>
      <c r="P192">
        <f>IF(N192="","",INDEX(avaliacoes_cursos[Nota média],M192))</f>
        <v/>
      </c>
      <c r="Q192">
        <f>IF(N192="","",IF(COUNTIF(avaliacoes_cursos[curso],N192)&gt;1,N192&amp;" — "&amp;O192,N192))</f>
        <v/>
      </c>
      <c r="R192">
        <f>IF(P192="","",P192+(1000-M192)/10000000)</f>
        <v/>
      </c>
    </row>
    <row r="193">
      <c r="A193" t="n">
        <v>192</v>
      </c>
      <c r="B193">
        <f>IF(A193&gt;ROWS(avaliacoes_qualidade[escola]),"",INDEX(avaliacoes_qualidade[escola],A193))</f>
        <v/>
      </c>
      <c r="C193">
        <f>IF(B193="","",INDEX(avaliacoes_qualidade[Nota média],A193))</f>
        <v/>
      </c>
      <c r="D193">
        <f>IF(B193="","",INDEX(avaliacoes_qualidade[Avaliações],A193))</f>
        <v/>
      </c>
      <c r="E193">
        <f>IF(B193="","",IFERROR(INDEX(escolas[Column1.tipo],MATCH(B193,escolas[Column1.nome],0)),"—"))</f>
        <v/>
      </c>
      <c r="F193">
        <f>IF(B193="","",SUMPRODUCT(MAX((RIGHT(B193,LEN(enderecos_escolas[cidade])+1)=" "&amp;enderecos_escolas[cidade])*LEN(enderecos_escolas[cidade]))))</f>
        <v/>
      </c>
      <c r="G193">
        <f>IF(B193="","",IFERROR(INDEX(enderecos_escolas[estado],MATCH(1,INDEX((RIGHT(B193,LEN(enderecos_escolas[cidade])+1)=" "&amp;enderecos_escolas[cidade])*(LEN(enderecos_escolas[cidade])=F193),0),0)),"—"))</f>
        <v/>
      </c>
      <c r="H193">
        <f>IF(B193="","",IFERROR(VLOOKUP(G193,'Parâmetros'!$A$5:$B$31,2,FALSE),"Não localizada"))</f>
        <v/>
      </c>
      <c r="I193">
        <f>IF(B193="","",IFERROR(INDEX(enderecos_escolas[tipoLocalizacao],MATCH(1,INDEX((RIGHT(B193,LEN(enderecos_escolas[cidade])+1)=" "&amp;enderecos_escolas[cidade])*(LEN(enderecos_escolas[cidade])=F193),0),0)),"—"))</f>
        <v/>
      </c>
      <c r="K193">
        <f>IF(C193="","",IF(AND(OR('Ranking Escolas'!$F$4="Todas",H193='Ranking Escolas'!$F$4),OR('Ranking Escolas'!$I$4="Todos",E193='Ranking Escolas'!$I$4)),C193+(1000-A193)/10000000,""))</f>
        <v/>
      </c>
      <c r="M193" t="n">
        <v>192</v>
      </c>
      <c r="N193">
        <f>IF(M193&gt;ROWS(avaliacoes_cursos[curso]),"",INDEX(avaliacoes_cursos[curso],M193))</f>
        <v/>
      </c>
      <c r="O193">
        <f>IF(N193="","",INDEX(avaliacoes_cursos[escola],M193))</f>
        <v/>
      </c>
      <c r="P193">
        <f>IF(N193="","",INDEX(avaliacoes_cursos[Nota média],M193))</f>
        <v/>
      </c>
      <c r="Q193">
        <f>IF(N193="","",IF(COUNTIF(avaliacoes_cursos[curso],N193)&gt;1,N193&amp;" — "&amp;O193,N193))</f>
        <v/>
      </c>
      <c r="R193">
        <f>IF(P193="","",P193+(1000-M193)/10000000)</f>
        <v/>
      </c>
    </row>
    <row r="194">
      <c r="A194" t="n">
        <v>193</v>
      </c>
      <c r="B194">
        <f>IF(A194&gt;ROWS(avaliacoes_qualidade[escola]),"",INDEX(avaliacoes_qualidade[escola],A194))</f>
        <v/>
      </c>
      <c r="C194">
        <f>IF(B194="","",INDEX(avaliacoes_qualidade[Nota média],A194))</f>
        <v/>
      </c>
      <c r="D194">
        <f>IF(B194="","",INDEX(avaliacoes_qualidade[Avaliações],A194))</f>
        <v/>
      </c>
      <c r="E194">
        <f>IF(B194="","",IFERROR(INDEX(escolas[Column1.tipo],MATCH(B194,escolas[Column1.nome],0)),"—"))</f>
        <v/>
      </c>
      <c r="F194">
        <f>IF(B194="","",SUMPRODUCT(MAX((RIGHT(B194,LEN(enderecos_escolas[cidade])+1)=" "&amp;enderecos_escolas[cidade])*LEN(enderecos_escolas[cidade]))))</f>
        <v/>
      </c>
      <c r="G194">
        <f>IF(B194="","",IFERROR(INDEX(enderecos_escolas[estado],MATCH(1,INDEX((RIGHT(B194,LEN(enderecos_escolas[cidade])+1)=" "&amp;enderecos_escolas[cidade])*(LEN(enderecos_escolas[cidade])=F194),0),0)),"—"))</f>
        <v/>
      </c>
      <c r="H194">
        <f>IF(B194="","",IFERROR(VLOOKUP(G194,'Parâmetros'!$A$5:$B$31,2,FALSE),"Não localizada"))</f>
        <v/>
      </c>
      <c r="I194">
        <f>IF(B194="","",IFERROR(INDEX(enderecos_escolas[tipoLocalizacao],MATCH(1,INDEX((RIGHT(B194,LEN(enderecos_escolas[cidade])+1)=" "&amp;enderecos_escolas[cidade])*(LEN(enderecos_escolas[cidade])=F194),0),0)),"—"))</f>
        <v/>
      </c>
      <c r="K194">
        <f>IF(C194="","",IF(AND(OR('Ranking Escolas'!$F$4="Todas",H194='Ranking Escolas'!$F$4),OR('Ranking Escolas'!$I$4="Todos",E194='Ranking Escolas'!$I$4)),C194+(1000-A194)/10000000,""))</f>
        <v/>
      </c>
      <c r="M194" t="n">
        <v>193</v>
      </c>
      <c r="N194">
        <f>IF(M194&gt;ROWS(avaliacoes_cursos[curso]),"",INDEX(avaliacoes_cursos[curso],M194))</f>
        <v/>
      </c>
      <c r="O194">
        <f>IF(N194="","",INDEX(avaliacoes_cursos[escola],M194))</f>
        <v/>
      </c>
      <c r="P194">
        <f>IF(N194="","",INDEX(avaliacoes_cursos[Nota média],M194))</f>
        <v/>
      </c>
      <c r="Q194">
        <f>IF(N194="","",IF(COUNTIF(avaliacoes_cursos[curso],N194)&gt;1,N194&amp;" — "&amp;O194,N194))</f>
        <v/>
      </c>
      <c r="R194">
        <f>IF(P194="","",P194+(1000-M194)/10000000)</f>
        <v/>
      </c>
    </row>
    <row r="195">
      <c r="A195" t="n">
        <v>194</v>
      </c>
      <c r="B195">
        <f>IF(A195&gt;ROWS(avaliacoes_qualidade[escola]),"",INDEX(avaliacoes_qualidade[escola],A195))</f>
        <v/>
      </c>
      <c r="C195">
        <f>IF(B195="","",INDEX(avaliacoes_qualidade[Nota média],A195))</f>
        <v/>
      </c>
      <c r="D195">
        <f>IF(B195="","",INDEX(avaliacoes_qualidade[Avaliações],A195))</f>
        <v/>
      </c>
      <c r="E195">
        <f>IF(B195="","",IFERROR(INDEX(escolas[Column1.tipo],MATCH(B195,escolas[Column1.nome],0)),"—"))</f>
        <v/>
      </c>
      <c r="F195">
        <f>IF(B195="","",SUMPRODUCT(MAX((RIGHT(B195,LEN(enderecos_escolas[cidade])+1)=" "&amp;enderecos_escolas[cidade])*LEN(enderecos_escolas[cidade]))))</f>
        <v/>
      </c>
      <c r="G195">
        <f>IF(B195="","",IFERROR(INDEX(enderecos_escolas[estado],MATCH(1,INDEX((RIGHT(B195,LEN(enderecos_escolas[cidade])+1)=" "&amp;enderecos_escolas[cidade])*(LEN(enderecos_escolas[cidade])=F195),0),0)),"—"))</f>
        <v/>
      </c>
      <c r="H195">
        <f>IF(B195="","",IFERROR(VLOOKUP(G195,'Parâmetros'!$A$5:$B$31,2,FALSE),"Não localizada"))</f>
        <v/>
      </c>
      <c r="I195">
        <f>IF(B195="","",IFERROR(INDEX(enderecos_escolas[tipoLocalizacao],MATCH(1,INDEX((RIGHT(B195,LEN(enderecos_escolas[cidade])+1)=" "&amp;enderecos_escolas[cidade])*(LEN(enderecos_escolas[cidade])=F195),0),0)),"—"))</f>
        <v/>
      </c>
      <c r="K195">
        <f>IF(C195="","",IF(AND(OR('Ranking Escolas'!$F$4="Todas",H195='Ranking Escolas'!$F$4),OR('Ranking Escolas'!$I$4="Todos",E195='Ranking Escolas'!$I$4)),C195+(1000-A195)/10000000,""))</f>
        <v/>
      </c>
      <c r="M195" t="n">
        <v>194</v>
      </c>
      <c r="N195">
        <f>IF(M195&gt;ROWS(avaliacoes_cursos[curso]),"",INDEX(avaliacoes_cursos[curso],M195))</f>
        <v/>
      </c>
      <c r="O195">
        <f>IF(N195="","",INDEX(avaliacoes_cursos[escola],M195))</f>
        <v/>
      </c>
      <c r="P195">
        <f>IF(N195="","",INDEX(avaliacoes_cursos[Nota média],M195))</f>
        <v/>
      </c>
      <c r="Q195">
        <f>IF(N195="","",IF(COUNTIF(avaliacoes_cursos[curso],N195)&gt;1,N195&amp;" — "&amp;O195,N195))</f>
        <v/>
      </c>
      <c r="R195">
        <f>IF(P195="","",P195+(1000-M195)/10000000)</f>
        <v/>
      </c>
    </row>
    <row r="196">
      <c r="A196" t="n">
        <v>195</v>
      </c>
      <c r="B196">
        <f>IF(A196&gt;ROWS(avaliacoes_qualidade[escola]),"",INDEX(avaliacoes_qualidade[escola],A196))</f>
        <v/>
      </c>
      <c r="C196">
        <f>IF(B196="","",INDEX(avaliacoes_qualidade[Nota média],A196))</f>
        <v/>
      </c>
      <c r="D196">
        <f>IF(B196="","",INDEX(avaliacoes_qualidade[Avaliações],A196))</f>
        <v/>
      </c>
      <c r="E196">
        <f>IF(B196="","",IFERROR(INDEX(escolas[Column1.tipo],MATCH(B196,escolas[Column1.nome],0)),"—"))</f>
        <v/>
      </c>
      <c r="F196">
        <f>IF(B196="","",SUMPRODUCT(MAX((RIGHT(B196,LEN(enderecos_escolas[cidade])+1)=" "&amp;enderecos_escolas[cidade])*LEN(enderecos_escolas[cidade]))))</f>
        <v/>
      </c>
      <c r="G196">
        <f>IF(B196="","",IFERROR(INDEX(enderecos_escolas[estado],MATCH(1,INDEX((RIGHT(B196,LEN(enderecos_escolas[cidade])+1)=" "&amp;enderecos_escolas[cidade])*(LEN(enderecos_escolas[cidade])=F196),0),0)),"—"))</f>
        <v/>
      </c>
      <c r="H196">
        <f>IF(B196="","",IFERROR(VLOOKUP(G196,'Parâmetros'!$A$5:$B$31,2,FALSE),"Não localizada"))</f>
        <v/>
      </c>
      <c r="I196">
        <f>IF(B196="","",IFERROR(INDEX(enderecos_escolas[tipoLocalizacao],MATCH(1,INDEX((RIGHT(B196,LEN(enderecos_escolas[cidade])+1)=" "&amp;enderecos_escolas[cidade])*(LEN(enderecos_escolas[cidade])=F196),0),0)),"—"))</f>
        <v/>
      </c>
      <c r="K196">
        <f>IF(C196="","",IF(AND(OR('Ranking Escolas'!$F$4="Todas",H196='Ranking Escolas'!$F$4),OR('Ranking Escolas'!$I$4="Todos",E196='Ranking Escolas'!$I$4)),C196+(1000-A196)/10000000,""))</f>
        <v/>
      </c>
      <c r="M196" t="n">
        <v>195</v>
      </c>
      <c r="N196">
        <f>IF(M196&gt;ROWS(avaliacoes_cursos[curso]),"",INDEX(avaliacoes_cursos[curso],M196))</f>
        <v/>
      </c>
      <c r="O196">
        <f>IF(N196="","",INDEX(avaliacoes_cursos[escola],M196))</f>
        <v/>
      </c>
      <c r="P196">
        <f>IF(N196="","",INDEX(avaliacoes_cursos[Nota média],M196))</f>
        <v/>
      </c>
      <c r="Q196">
        <f>IF(N196="","",IF(COUNTIF(avaliacoes_cursos[curso],N196)&gt;1,N196&amp;" — "&amp;O196,N196))</f>
        <v/>
      </c>
      <c r="R196">
        <f>IF(P196="","",P196+(1000-M196)/10000000)</f>
        <v/>
      </c>
    </row>
    <row r="197">
      <c r="A197" t="n">
        <v>196</v>
      </c>
      <c r="B197">
        <f>IF(A197&gt;ROWS(avaliacoes_qualidade[escola]),"",INDEX(avaliacoes_qualidade[escola],A197))</f>
        <v/>
      </c>
      <c r="C197">
        <f>IF(B197="","",INDEX(avaliacoes_qualidade[Nota média],A197))</f>
        <v/>
      </c>
      <c r="D197">
        <f>IF(B197="","",INDEX(avaliacoes_qualidade[Avaliações],A197))</f>
        <v/>
      </c>
      <c r="E197">
        <f>IF(B197="","",IFERROR(INDEX(escolas[Column1.tipo],MATCH(B197,escolas[Column1.nome],0)),"—"))</f>
        <v/>
      </c>
      <c r="F197">
        <f>IF(B197="","",SUMPRODUCT(MAX((RIGHT(B197,LEN(enderecos_escolas[cidade])+1)=" "&amp;enderecos_escolas[cidade])*LEN(enderecos_escolas[cidade]))))</f>
        <v/>
      </c>
      <c r="G197">
        <f>IF(B197="","",IFERROR(INDEX(enderecos_escolas[estado],MATCH(1,INDEX((RIGHT(B197,LEN(enderecos_escolas[cidade])+1)=" "&amp;enderecos_escolas[cidade])*(LEN(enderecos_escolas[cidade])=F197),0),0)),"—"))</f>
        <v/>
      </c>
      <c r="H197">
        <f>IF(B197="","",IFERROR(VLOOKUP(G197,'Parâmetros'!$A$5:$B$31,2,FALSE),"Não localizada"))</f>
        <v/>
      </c>
      <c r="I197">
        <f>IF(B197="","",IFERROR(INDEX(enderecos_escolas[tipoLocalizacao],MATCH(1,INDEX((RIGHT(B197,LEN(enderecos_escolas[cidade])+1)=" "&amp;enderecos_escolas[cidade])*(LEN(enderecos_escolas[cidade])=F197),0),0)),"—"))</f>
        <v/>
      </c>
      <c r="K197">
        <f>IF(C197="","",IF(AND(OR('Ranking Escolas'!$F$4="Todas",H197='Ranking Escolas'!$F$4),OR('Ranking Escolas'!$I$4="Todos",E197='Ranking Escolas'!$I$4)),C197+(1000-A197)/10000000,""))</f>
        <v/>
      </c>
      <c r="M197" t="n">
        <v>196</v>
      </c>
      <c r="N197">
        <f>IF(M197&gt;ROWS(avaliacoes_cursos[curso]),"",INDEX(avaliacoes_cursos[curso],M197))</f>
        <v/>
      </c>
      <c r="O197">
        <f>IF(N197="","",INDEX(avaliacoes_cursos[escola],M197))</f>
        <v/>
      </c>
      <c r="P197">
        <f>IF(N197="","",INDEX(avaliacoes_cursos[Nota média],M197))</f>
        <v/>
      </c>
      <c r="Q197">
        <f>IF(N197="","",IF(COUNTIF(avaliacoes_cursos[curso],N197)&gt;1,N197&amp;" — "&amp;O197,N197))</f>
        <v/>
      </c>
      <c r="R197">
        <f>IF(P197="","",P197+(1000-M197)/10000000)</f>
        <v/>
      </c>
    </row>
    <row r="198">
      <c r="A198" t="n">
        <v>197</v>
      </c>
      <c r="B198">
        <f>IF(A198&gt;ROWS(avaliacoes_qualidade[escola]),"",INDEX(avaliacoes_qualidade[escola],A198))</f>
        <v/>
      </c>
      <c r="C198">
        <f>IF(B198="","",INDEX(avaliacoes_qualidade[Nota média],A198))</f>
        <v/>
      </c>
      <c r="D198">
        <f>IF(B198="","",INDEX(avaliacoes_qualidade[Avaliações],A198))</f>
        <v/>
      </c>
      <c r="E198">
        <f>IF(B198="","",IFERROR(INDEX(escolas[Column1.tipo],MATCH(B198,escolas[Column1.nome],0)),"—"))</f>
        <v/>
      </c>
      <c r="F198">
        <f>IF(B198="","",SUMPRODUCT(MAX((RIGHT(B198,LEN(enderecos_escolas[cidade])+1)=" "&amp;enderecos_escolas[cidade])*LEN(enderecos_escolas[cidade]))))</f>
        <v/>
      </c>
      <c r="G198">
        <f>IF(B198="","",IFERROR(INDEX(enderecos_escolas[estado],MATCH(1,INDEX((RIGHT(B198,LEN(enderecos_escolas[cidade])+1)=" "&amp;enderecos_escolas[cidade])*(LEN(enderecos_escolas[cidade])=F198),0),0)),"—"))</f>
        <v/>
      </c>
      <c r="H198">
        <f>IF(B198="","",IFERROR(VLOOKUP(G198,'Parâmetros'!$A$5:$B$31,2,FALSE),"Não localizada"))</f>
        <v/>
      </c>
      <c r="I198">
        <f>IF(B198="","",IFERROR(INDEX(enderecos_escolas[tipoLocalizacao],MATCH(1,INDEX((RIGHT(B198,LEN(enderecos_escolas[cidade])+1)=" "&amp;enderecos_escolas[cidade])*(LEN(enderecos_escolas[cidade])=F198),0),0)),"—"))</f>
        <v/>
      </c>
      <c r="K198">
        <f>IF(C198="","",IF(AND(OR('Ranking Escolas'!$F$4="Todas",H198='Ranking Escolas'!$F$4),OR('Ranking Escolas'!$I$4="Todos",E198='Ranking Escolas'!$I$4)),C198+(1000-A198)/10000000,""))</f>
        <v/>
      </c>
      <c r="M198" t="n">
        <v>197</v>
      </c>
      <c r="N198">
        <f>IF(M198&gt;ROWS(avaliacoes_cursos[curso]),"",INDEX(avaliacoes_cursos[curso],M198))</f>
        <v/>
      </c>
      <c r="O198">
        <f>IF(N198="","",INDEX(avaliacoes_cursos[escola],M198))</f>
        <v/>
      </c>
      <c r="P198">
        <f>IF(N198="","",INDEX(avaliacoes_cursos[Nota média],M198))</f>
        <v/>
      </c>
      <c r="Q198">
        <f>IF(N198="","",IF(COUNTIF(avaliacoes_cursos[curso],N198)&gt;1,N198&amp;" — "&amp;O198,N198))</f>
        <v/>
      </c>
      <c r="R198">
        <f>IF(P198="","",P198+(1000-M198)/10000000)</f>
        <v/>
      </c>
    </row>
    <row r="199">
      <c r="A199" t="n">
        <v>198</v>
      </c>
      <c r="B199">
        <f>IF(A199&gt;ROWS(avaliacoes_qualidade[escola]),"",INDEX(avaliacoes_qualidade[escola],A199))</f>
        <v/>
      </c>
      <c r="C199">
        <f>IF(B199="","",INDEX(avaliacoes_qualidade[Nota média],A199))</f>
        <v/>
      </c>
      <c r="D199">
        <f>IF(B199="","",INDEX(avaliacoes_qualidade[Avaliações],A199))</f>
        <v/>
      </c>
      <c r="E199">
        <f>IF(B199="","",IFERROR(INDEX(escolas[Column1.tipo],MATCH(B199,escolas[Column1.nome],0)),"—"))</f>
        <v/>
      </c>
      <c r="F199">
        <f>IF(B199="","",SUMPRODUCT(MAX((RIGHT(B199,LEN(enderecos_escolas[cidade])+1)=" "&amp;enderecos_escolas[cidade])*LEN(enderecos_escolas[cidade]))))</f>
        <v/>
      </c>
      <c r="G199">
        <f>IF(B199="","",IFERROR(INDEX(enderecos_escolas[estado],MATCH(1,INDEX((RIGHT(B199,LEN(enderecos_escolas[cidade])+1)=" "&amp;enderecos_escolas[cidade])*(LEN(enderecos_escolas[cidade])=F199),0),0)),"—"))</f>
        <v/>
      </c>
      <c r="H199">
        <f>IF(B199="","",IFERROR(VLOOKUP(G199,'Parâmetros'!$A$5:$B$31,2,FALSE),"Não localizada"))</f>
        <v/>
      </c>
      <c r="I199">
        <f>IF(B199="","",IFERROR(INDEX(enderecos_escolas[tipoLocalizacao],MATCH(1,INDEX((RIGHT(B199,LEN(enderecos_escolas[cidade])+1)=" "&amp;enderecos_escolas[cidade])*(LEN(enderecos_escolas[cidade])=F199),0),0)),"—"))</f>
        <v/>
      </c>
      <c r="K199">
        <f>IF(C199="","",IF(AND(OR('Ranking Escolas'!$F$4="Todas",H199='Ranking Escolas'!$F$4),OR('Ranking Escolas'!$I$4="Todos",E199='Ranking Escolas'!$I$4)),C199+(1000-A199)/10000000,""))</f>
        <v/>
      </c>
      <c r="M199" t="n">
        <v>198</v>
      </c>
      <c r="N199">
        <f>IF(M199&gt;ROWS(avaliacoes_cursos[curso]),"",INDEX(avaliacoes_cursos[curso],M199))</f>
        <v/>
      </c>
      <c r="O199">
        <f>IF(N199="","",INDEX(avaliacoes_cursos[escola],M199))</f>
        <v/>
      </c>
      <c r="P199">
        <f>IF(N199="","",INDEX(avaliacoes_cursos[Nota média],M199))</f>
        <v/>
      </c>
      <c r="Q199">
        <f>IF(N199="","",IF(COUNTIF(avaliacoes_cursos[curso],N199)&gt;1,N199&amp;" — "&amp;O199,N199))</f>
        <v/>
      </c>
      <c r="R199">
        <f>IF(P199="","",P199+(1000-M199)/10000000)</f>
        <v/>
      </c>
    </row>
    <row r="200">
      <c r="A200" t="n">
        <v>199</v>
      </c>
      <c r="B200">
        <f>IF(A200&gt;ROWS(avaliacoes_qualidade[escola]),"",INDEX(avaliacoes_qualidade[escola],A200))</f>
        <v/>
      </c>
      <c r="C200">
        <f>IF(B200="","",INDEX(avaliacoes_qualidade[Nota média],A200))</f>
        <v/>
      </c>
      <c r="D200">
        <f>IF(B200="","",INDEX(avaliacoes_qualidade[Avaliações],A200))</f>
        <v/>
      </c>
      <c r="E200">
        <f>IF(B200="","",IFERROR(INDEX(escolas[Column1.tipo],MATCH(B200,escolas[Column1.nome],0)),"—"))</f>
        <v/>
      </c>
      <c r="F200">
        <f>IF(B200="","",SUMPRODUCT(MAX((RIGHT(B200,LEN(enderecos_escolas[cidade])+1)=" "&amp;enderecos_escolas[cidade])*LEN(enderecos_escolas[cidade]))))</f>
        <v/>
      </c>
      <c r="G200">
        <f>IF(B200="","",IFERROR(INDEX(enderecos_escolas[estado],MATCH(1,INDEX((RIGHT(B200,LEN(enderecos_escolas[cidade])+1)=" "&amp;enderecos_escolas[cidade])*(LEN(enderecos_escolas[cidade])=F200),0),0)),"—"))</f>
        <v/>
      </c>
      <c r="H200">
        <f>IF(B200="","",IFERROR(VLOOKUP(G200,'Parâmetros'!$A$5:$B$31,2,FALSE),"Não localizada"))</f>
        <v/>
      </c>
      <c r="I200">
        <f>IF(B200="","",IFERROR(INDEX(enderecos_escolas[tipoLocalizacao],MATCH(1,INDEX((RIGHT(B200,LEN(enderecos_escolas[cidade])+1)=" "&amp;enderecos_escolas[cidade])*(LEN(enderecos_escolas[cidade])=F200),0),0)),"—"))</f>
        <v/>
      </c>
      <c r="K200">
        <f>IF(C200="","",IF(AND(OR('Ranking Escolas'!$F$4="Todas",H200='Ranking Escolas'!$F$4),OR('Ranking Escolas'!$I$4="Todos",E200='Ranking Escolas'!$I$4)),C200+(1000-A200)/10000000,""))</f>
        <v/>
      </c>
      <c r="M200" t="n">
        <v>199</v>
      </c>
      <c r="N200">
        <f>IF(M200&gt;ROWS(avaliacoes_cursos[curso]),"",INDEX(avaliacoes_cursos[curso],M200))</f>
        <v/>
      </c>
      <c r="O200">
        <f>IF(N200="","",INDEX(avaliacoes_cursos[escola],M200))</f>
        <v/>
      </c>
      <c r="P200">
        <f>IF(N200="","",INDEX(avaliacoes_cursos[Nota média],M200))</f>
        <v/>
      </c>
      <c r="Q200">
        <f>IF(N200="","",IF(COUNTIF(avaliacoes_cursos[curso],N200)&gt;1,N200&amp;" — "&amp;O200,N200))</f>
        <v/>
      </c>
      <c r="R200">
        <f>IF(P200="","",P200+(1000-M200)/10000000)</f>
        <v/>
      </c>
    </row>
    <row r="201">
      <c r="A201" t="n">
        <v>200</v>
      </c>
      <c r="B201">
        <f>IF(A201&gt;ROWS(avaliacoes_qualidade[escola]),"",INDEX(avaliacoes_qualidade[escola],A201))</f>
        <v/>
      </c>
      <c r="C201">
        <f>IF(B201="","",INDEX(avaliacoes_qualidade[Nota média],A201))</f>
        <v/>
      </c>
      <c r="D201">
        <f>IF(B201="","",INDEX(avaliacoes_qualidade[Avaliações],A201))</f>
        <v/>
      </c>
      <c r="E201">
        <f>IF(B201="","",IFERROR(INDEX(escolas[Column1.tipo],MATCH(B201,escolas[Column1.nome],0)),"—"))</f>
        <v/>
      </c>
      <c r="F201">
        <f>IF(B201="","",SUMPRODUCT(MAX((RIGHT(B201,LEN(enderecos_escolas[cidade])+1)=" "&amp;enderecos_escolas[cidade])*LEN(enderecos_escolas[cidade]))))</f>
        <v/>
      </c>
      <c r="G201">
        <f>IF(B201="","",IFERROR(INDEX(enderecos_escolas[estado],MATCH(1,INDEX((RIGHT(B201,LEN(enderecos_escolas[cidade])+1)=" "&amp;enderecos_escolas[cidade])*(LEN(enderecos_escolas[cidade])=F201),0),0)),"—"))</f>
        <v/>
      </c>
      <c r="H201">
        <f>IF(B201="","",IFERROR(VLOOKUP(G201,'Parâmetros'!$A$5:$B$31,2,FALSE),"Não localizada"))</f>
        <v/>
      </c>
      <c r="I201">
        <f>IF(B201="","",IFERROR(INDEX(enderecos_escolas[tipoLocalizacao],MATCH(1,INDEX((RIGHT(B201,LEN(enderecos_escolas[cidade])+1)=" "&amp;enderecos_escolas[cidade])*(LEN(enderecos_escolas[cidade])=F201),0),0)),"—"))</f>
        <v/>
      </c>
      <c r="K201">
        <f>IF(C201="","",IF(AND(OR('Ranking Escolas'!$F$4="Todas",H201='Ranking Escolas'!$F$4),OR('Ranking Escolas'!$I$4="Todos",E201='Ranking Escolas'!$I$4)),C201+(1000-A201)/10000000,""))</f>
        <v/>
      </c>
      <c r="M201" t="n">
        <v>200</v>
      </c>
      <c r="N201">
        <f>IF(M201&gt;ROWS(avaliacoes_cursos[curso]),"",INDEX(avaliacoes_cursos[curso],M201))</f>
        <v/>
      </c>
      <c r="O201">
        <f>IF(N201="","",INDEX(avaliacoes_cursos[escola],M201))</f>
        <v/>
      </c>
      <c r="P201">
        <f>IF(N201="","",INDEX(avaliacoes_cursos[Nota média],M201))</f>
        <v/>
      </c>
      <c r="Q201">
        <f>IF(N201="","",IF(COUNTIF(avaliacoes_cursos[curso],N201)&gt;1,N201&amp;" — "&amp;O201,N201))</f>
        <v/>
      </c>
      <c r="R201">
        <f>IF(P201="","",P201+(1000-M201)/10000000)</f>
        <v/>
      </c>
    </row>
    <row r="202">
      <c r="A202" t="n">
        <v>201</v>
      </c>
      <c r="B202">
        <f>IF(A202&gt;ROWS(avaliacoes_qualidade[escola]),"",INDEX(avaliacoes_qualidade[escola],A202))</f>
        <v/>
      </c>
      <c r="C202">
        <f>IF(B202="","",INDEX(avaliacoes_qualidade[Nota média],A202))</f>
        <v/>
      </c>
      <c r="D202">
        <f>IF(B202="","",INDEX(avaliacoes_qualidade[Avaliações],A202))</f>
        <v/>
      </c>
      <c r="E202">
        <f>IF(B202="","",IFERROR(INDEX(escolas[Column1.tipo],MATCH(B202,escolas[Column1.nome],0)),"—"))</f>
        <v/>
      </c>
      <c r="F202">
        <f>IF(B202="","",SUMPRODUCT(MAX((RIGHT(B202,LEN(enderecos_escolas[cidade])+1)=" "&amp;enderecos_escolas[cidade])*LEN(enderecos_escolas[cidade]))))</f>
        <v/>
      </c>
      <c r="G202">
        <f>IF(B202="","",IFERROR(INDEX(enderecos_escolas[estado],MATCH(1,INDEX((RIGHT(B202,LEN(enderecos_escolas[cidade])+1)=" "&amp;enderecos_escolas[cidade])*(LEN(enderecos_escolas[cidade])=F202),0),0)),"—"))</f>
        <v/>
      </c>
      <c r="H202">
        <f>IF(B202="","",IFERROR(VLOOKUP(G202,'Parâmetros'!$A$5:$B$31,2,FALSE),"Não localizada"))</f>
        <v/>
      </c>
      <c r="I202">
        <f>IF(B202="","",IFERROR(INDEX(enderecos_escolas[tipoLocalizacao],MATCH(1,INDEX((RIGHT(B202,LEN(enderecos_escolas[cidade])+1)=" "&amp;enderecos_escolas[cidade])*(LEN(enderecos_escolas[cidade])=F202),0),0)),"—"))</f>
        <v/>
      </c>
      <c r="K202">
        <f>IF(C202="","",IF(AND(OR('Ranking Escolas'!$F$4="Todas",H202='Ranking Escolas'!$F$4),OR('Ranking Escolas'!$I$4="Todos",E202='Ranking Escolas'!$I$4)),C202+(1000-A202)/10000000,""))</f>
        <v/>
      </c>
      <c r="M202" t="n">
        <v>201</v>
      </c>
      <c r="N202">
        <f>IF(M202&gt;ROWS(avaliacoes_cursos[curso]),"",INDEX(avaliacoes_cursos[curso],M202))</f>
        <v/>
      </c>
      <c r="O202">
        <f>IF(N202="","",INDEX(avaliacoes_cursos[escola],M202))</f>
        <v/>
      </c>
      <c r="P202">
        <f>IF(N202="","",INDEX(avaliacoes_cursos[Nota média],M202))</f>
        <v/>
      </c>
      <c r="Q202">
        <f>IF(N202="","",IF(COUNTIF(avaliacoes_cursos[curso],N202)&gt;1,N202&amp;" — "&amp;O202,N202))</f>
        <v/>
      </c>
      <c r="R202">
        <f>IF(P202="","",P202+(1000-M202)/10000000)</f>
        <v/>
      </c>
    </row>
    <row r="203">
      <c r="A203" t="n">
        <v>202</v>
      </c>
      <c r="B203">
        <f>IF(A203&gt;ROWS(avaliacoes_qualidade[escola]),"",INDEX(avaliacoes_qualidade[escola],A203))</f>
        <v/>
      </c>
      <c r="C203">
        <f>IF(B203="","",INDEX(avaliacoes_qualidade[Nota média],A203))</f>
        <v/>
      </c>
      <c r="D203">
        <f>IF(B203="","",INDEX(avaliacoes_qualidade[Avaliações],A203))</f>
        <v/>
      </c>
      <c r="E203">
        <f>IF(B203="","",IFERROR(INDEX(escolas[Column1.tipo],MATCH(B203,escolas[Column1.nome],0)),"—"))</f>
        <v/>
      </c>
      <c r="F203">
        <f>IF(B203="","",SUMPRODUCT(MAX((RIGHT(B203,LEN(enderecos_escolas[cidade])+1)=" "&amp;enderecos_escolas[cidade])*LEN(enderecos_escolas[cidade]))))</f>
        <v/>
      </c>
      <c r="G203">
        <f>IF(B203="","",IFERROR(INDEX(enderecos_escolas[estado],MATCH(1,INDEX((RIGHT(B203,LEN(enderecos_escolas[cidade])+1)=" "&amp;enderecos_escolas[cidade])*(LEN(enderecos_escolas[cidade])=F203),0),0)),"—"))</f>
        <v/>
      </c>
      <c r="H203">
        <f>IF(B203="","",IFERROR(VLOOKUP(G203,'Parâmetros'!$A$5:$B$31,2,FALSE),"Não localizada"))</f>
        <v/>
      </c>
      <c r="I203">
        <f>IF(B203="","",IFERROR(INDEX(enderecos_escolas[tipoLocalizacao],MATCH(1,INDEX((RIGHT(B203,LEN(enderecos_escolas[cidade])+1)=" "&amp;enderecos_escolas[cidade])*(LEN(enderecos_escolas[cidade])=F203),0),0)),"—"))</f>
        <v/>
      </c>
      <c r="K203">
        <f>IF(C203="","",IF(AND(OR('Ranking Escolas'!$F$4="Todas",H203='Ranking Escolas'!$F$4),OR('Ranking Escolas'!$I$4="Todos",E203='Ranking Escolas'!$I$4)),C203+(1000-A203)/10000000,""))</f>
        <v/>
      </c>
      <c r="M203" t="n">
        <v>202</v>
      </c>
      <c r="N203">
        <f>IF(M203&gt;ROWS(avaliacoes_cursos[curso]),"",INDEX(avaliacoes_cursos[curso],M203))</f>
        <v/>
      </c>
      <c r="O203">
        <f>IF(N203="","",INDEX(avaliacoes_cursos[escola],M203))</f>
        <v/>
      </c>
      <c r="P203">
        <f>IF(N203="","",INDEX(avaliacoes_cursos[Nota média],M203))</f>
        <v/>
      </c>
      <c r="Q203">
        <f>IF(N203="","",IF(COUNTIF(avaliacoes_cursos[curso],N203)&gt;1,N203&amp;" — "&amp;O203,N203))</f>
        <v/>
      </c>
      <c r="R203">
        <f>IF(P203="","",P203+(1000-M203)/10000000)</f>
        <v/>
      </c>
    </row>
    <row r="204">
      <c r="A204" t="n">
        <v>203</v>
      </c>
      <c r="B204">
        <f>IF(A204&gt;ROWS(avaliacoes_qualidade[escola]),"",INDEX(avaliacoes_qualidade[escola],A204))</f>
        <v/>
      </c>
      <c r="C204">
        <f>IF(B204="","",INDEX(avaliacoes_qualidade[Nota média],A204))</f>
        <v/>
      </c>
      <c r="D204">
        <f>IF(B204="","",INDEX(avaliacoes_qualidade[Avaliações],A204))</f>
        <v/>
      </c>
      <c r="E204">
        <f>IF(B204="","",IFERROR(INDEX(escolas[Column1.tipo],MATCH(B204,escolas[Column1.nome],0)),"—"))</f>
        <v/>
      </c>
      <c r="F204">
        <f>IF(B204="","",SUMPRODUCT(MAX((RIGHT(B204,LEN(enderecos_escolas[cidade])+1)=" "&amp;enderecos_escolas[cidade])*LEN(enderecos_escolas[cidade]))))</f>
        <v/>
      </c>
      <c r="G204">
        <f>IF(B204="","",IFERROR(INDEX(enderecos_escolas[estado],MATCH(1,INDEX((RIGHT(B204,LEN(enderecos_escolas[cidade])+1)=" "&amp;enderecos_escolas[cidade])*(LEN(enderecos_escolas[cidade])=F204),0),0)),"—"))</f>
        <v/>
      </c>
      <c r="H204">
        <f>IF(B204="","",IFERROR(VLOOKUP(G204,'Parâmetros'!$A$5:$B$31,2,FALSE),"Não localizada"))</f>
        <v/>
      </c>
      <c r="I204">
        <f>IF(B204="","",IFERROR(INDEX(enderecos_escolas[tipoLocalizacao],MATCH(1,INDEX((RIGHT(B204,LEN(enderecos_escolas[cidade])+1)=" "&amp;enderecos_escolas[cidade])*(LEN(enderecos_escolas[cidade])=F204),0),0)),"—"))</f>
        <v/>
      </c>
      <c r="K204">
        <f>IF(C204="","",IF(AND(OR('Ranking Escolas'!$F$4="Todas",H204='Ranking Escolas'!$F$4),OR('Ranking Escolas'!$I$4="Todos",E204='Ranking Escolas'!$I$4)),C204+(1000-A204)/10000000,""))</f>
        <v/>
      </c>
      <c r="M204" t="n">
        <v>203</v>
      </c>
      <c r="N204">
        <f>IF(M204&gt;ROWS(avaliacoes_cursos[curso]),"",INDEX(avaliacoes_cursos[curso],M204))</f>
        <v/>
      </c>
      <c r="O204">
        <f>IF(N204="","",INDEX(avaliacoes_cursos[escola],M204))</f>
        <v/>
      </c>
      <c r="P204">
        <f>IF(N204="","",INDEX(avaliacoes_cursos[Nota média],M204))</f>
        <v/>
      </c>
      <c r="Q204">
        <f>IF(N204="","",IF(COUNTIF(avaliacoes_cursos[curso],N204)&gt;1,N204&amp;" — "&amp;O204,N204))</f>
        <v/>
      </c>
      <c r="R204">
        <f>IF(P204="","",P204+(1000-M204)/10000000)</f>
        <v/>
      </c>
    </row>
    <row r="205">
      <c r="A205" t="n">
        <v>204</v>
      </c>
      <c r="B205">
        <f>IF(A205&gt;ROWS(avaliacoes_qualidade[escola]),"",INDEX(avaliacoes_qualidade[escola],A205))</f>
        <v/>
      </c>
      <c r="C205">
        <f>IF(B205="","",INDEX(avaliacoes_qualidade[Nota média],A205))</f>
        <v/>
      </c>
      <c r="D205">
        <f>IF(B205="","",INDEX(avaliacoes_qualidade[Avaliações],A205))</f>
        <v/>
      </c>
      <c r="E205">
        <f>IF(B205="","",IFERROR(INDEX(escolas[Column1.tipo],MATCH(B205,escolas[Column1.nome],0)),"—"))</f>
        <v/>
      </c>
      <c r="F205">
        <f>IF(B205="","",SUMPRODUCT(MAX((RIGHT(B205,LEN(enderecos_escolas[cidade])+1)=" "&amp;enderecos_escolas[cidade])*LEN(enderecos_escolas[cidade]))))</f>
        <v/>
      </c>
      <c r="G205">
        <f>IF(B205="","",IFERROR(INDEX(enderecos_escolas[estado],MATCH(1,INDEX((RIGHT(B205,LEN(enderecos_escolas[cidade])+1)=" "&amp;enderecos_escolas[cidade])*(LEN(enderecos_escolas[cidade])=F205),0),0)),"—"))</f>
        <v/>
      </c>
      <c r="H205">
        <f>IF(B205="","",IFERROR(VLOOKUP(G205,'Parâmetros'!$A$5:$B$31,2,FALSE),"Não localizada"))</f>
        <v/>
      </c>
      <c r="I205">
        <f>IF(B205="","",IFERROR(INDEX(enderecos_escolas[tipoLocalizacao],MATCH(1,INDEX((RIGHT(B205,LEN(enderecos_escolas[cidade])+1)=" "&amp;enderecos_escolas[cidade])*(LEN(enderecos_escolas[cidade])=F205),0),0)),"—"))</f>
        <v/>
      </c>
      <c r="K205">
        <f>IF(C205="","",IF(AND(OR('Ranking Escolas'!$F$4="Todas",H205='Ranking Escolas'!$F$4),OR('Ranking Escolas'!$I$4="Todos",E205='Ranking Escolas'!$I$4)),C205+(1000-A205)/10000000,""))</f>
        <v/>
      </c>
      <c r="M205" t="n">
        <v>204</v>
      </c>
      <c r="N205">
        <f>IF(M205&gt;ROWS(avaliacoes_cursos[curso]),"",INDEX(avaliacoes_cursos[curso],M205))</f>
        <v/>
      </c>
      <c r="O205">
        <f>IF(N205="","",INDEX(avaliacoes_cursos[escola],M205))</f>
        <v/>
      </c>
      <c r="P205">
        <f>IF(N205="","",INDEX(avaliacoes_cursos[Nota média],M205))</f>
        <v/>
      </c>
      <c r="Q205">
        <f>IF(N205="","",IF(COUNTIF(avaliacoes_cursos[curso],N205)&gt;1,N205&amp;" — "&amp;O205,N205))</f>
        <v/>
      </c>
      <c r="R205">
        <f>IF(P205="","",P205+(1000-M205)/10000000)</f>
        <v/>
      </c>
    </row>
    <row r="206">
      <c r="A206" t="n">
        <v>205</v>
      </c>
      <c r="B206">
        <f>IF(A206&gt;ROWS(avaliacoes_qualidade[escola]),"",INDEX(avaliacoes_qualidade[escola],A206))</f>
        <v/>
      </c>
      <c r="C206">
        <f>IF(B206="","",INDEX(avaliacoes_qualidade[Nota média],A206))</f>
        <v/>
      </c>
      <c r="D206">
        <f>IF(B206="","",INDEX(avaliacoes_qualidade[Avaliações],A206))</f>
        <v/>
      </c>
      <c r="E206">
        <f>IF(B206="","",IFERROR(INDEX(escolas[Column1.tipo],MATCH(B206,escolas[Column1.nome],0)),"—"))</f>
        <v/>
      </c>
      <c r="F206">
        <f>IF(B206="","",SUMPRODUCT(MAX((RIGHT(B206,LEN(enderecos_escolas[cidade])+1)=" "&amp;enderecos_escolas[cidade])*LEN(enderecos_escolas[cidade]))))</f>
        <v/>
      </c>
      <c r="G206">
        <f>IF(B206="","",IFERROR(INDEX(enderecos_escolas[estado],MATCH(1,INDEX((RIGHT(B206,LEN(enderecos_escolas[cidade])+1)=" "&amp;enderecos_escolas[cidade])*(LEN(enderecos_escolas[cidade])=F206),0),0)),"—"))</f>
        <v/>
      </c>
      <c r="H206">
        <f>IF(B206="","",IFERROR(VLOOKUP(G206,'Parâmetros'!$A$5:$B$31,2,FALSE),"Não localizada"))</f>
        <v/>
      </c>
      <c r="I206">
        <f>IF(B206="","",IFERROR(INDEX(enderecos_escolas[tipoLocalizacao],MATCH(1,INDEX((RIGHT(B206,LEN(enderecos_escolas[cidade])+1)=" "&amp;enderecos_escolas[cidade])*(LEN(enderecos_escolas[cidade])=F206),0),0)),"—"))</f>
        <v/>
      </c>
      <c r="K206">
        <f>IF(C206="","",IF(AND(OR('Ranking Escolas'!$F$4="Todas",H206='Ranking Escolas'!$F$4),OR('Ranking Escolas'!$I$4="Todos",E206='Ranking Escolas'!$I$4)),C206+(1000-A206)/10000000,""))</f>
        <v/>
      </c>
      <c r="M206" t="n">
        <v>205</v>
      </c>
      <c r="N206">
        <f>IF(M206&gt;ROWS(avaliacoes_cursos[curso]),"",INDEX(avaliacoes_cursos[curso],M206))</f>
        <v/>
      </c>
      <c r="O206">
        <f>IF(N206="","",INDEX(avaliacoes_cursos[escola],M206))</f>
        <v/>
      </c>
      <c r="P206">
        <f>IF(N206="","",INDEX(avaliacoes_cursos[Nota média],M206))</f>
        <v/>
      </c>
      <c r="Q206">
        <f>IF(N206="","",IF(COUNTIF(avaliacoes_cursos[curso],N206)&gt;1,N206&amp;" — "&amp;O206,N206))</f>
        <v/>
      </c>
      <c r="R206">
        <f>IF(P206="","",P206+(1000-M206)/10000000)</f>
        <v/>
      </c>
    </row>
    <row r="207">
      <c r="A207" t="n">
        <v>206</v>
      </c>
      <c r="B207">
        <f>IF(A207&gt;ROWS(avaliacoes_qualidade[escola]),"",INDEX(avaliacoes_qualidade[escola],A207))</f>
        <v/>
      </c>
      <c r="C207">
        <f>IF(B207="","",INDEX(avaliacoes_qualidade[Nota média],A207))</f>
        <v/>
      </c>
      <c r="D207">
        <f>IF(B207="","",INDEX(avaliacoes_qualidade[Avaliações],A207))</f>
        <v/>
      </c>
      <c r="E207">
        <f>IF(B207="","",IFERROR(INDEX(escolas[Column1.tipo],MATCH(B207,escolas[Column1.nome],0)),"—"))</f>
        <v/>
      </c>
      <c r="F207">
        <f>IF(B207="","",SUMPRODUCT(MAX((RIGHT(B207,LEN(enderecos_escolas[cidade])+1)=" "&amp;enderecos_escolas[cidade])*LEN(enderecos_escolas[cidade]))))</f>
        <v/>
      </c>
      <c r="G207">
        <f>IF(B207="","",IFERROR(INDEX(enderecos_escolas[estado],MATCH(1,INDEX((RIGHT(B207,LEN(enderecos_escolas[cidade])+1)=" "&amp;enderecos_escolas[cidade])*(LEN(enderecos_escolas[cidade])=F207),0),0)),"—"))</f>
        <v/>
      </c>
      <c r="H207">
        <f>IF(B207="","",IFERROR(VLOOKUP(G207,'Parâmetros'!$A$5:$B$31,2,FALSE),"Não localizada"))</f>
        <v/>
      </c>
      <c r="I207">
        <f>IF(B207="","",IFERROR(INDEX(enderecos_escolas[tipoLocalizacao],MATCH(1,INDEX((RIGHT(B207,LEN(enderecos_escolas[cidade])+1)=" "&amp;enderecos_escolas[cidade])*(LEN(enderecos_escolas[cidade])=F207),0),0)),"—"))</f>
        <v/>
      </c>
      <c r="K207">
        <f>IF(C207="","",IF(AND(OR('Ranking Escolas'!$F$4="Todas",H207='Ranking Escolas'!$F$4),OR('Ranking Escolas'!$I$4="Todos",E207='Ranking Escolas'!$I$4)),C207+(1000-A207)/10000000,""))</f>
        <v/>
      </c>
      <c r="M207" t="n">
        <v>206</v>
      </c>
      <c r="N207">
        <f>IF(M207&gt;ROWS(avaliacoes_cursos[curso]),"",INDEX(avaliacoes_cursos[curso],M207))</f>
        <v/>
      </c>
      <c r="O207">
        <f>IF(N207="","",INDEX(avaliacoes_cursos[escola],M207))</f>
        <v/>
      </c>
      <c r="P207">
        <f>IF(N207="","",INDEX(avaliacoes_cursos[Nota média],M207))</f>
        <v/>
      </c>
      <c r="Q207">
        <f>IF(N207="","",IF(COUNTIF(avaliacoes_cursos[curso],N207)&gt;1,N207&amp;" — "&amp;O207,N207))</f>
        <v/>
      </c>
      <c r="R207">
        <f>IF(P207="","",P207+(1000-M207)/10000000)</f>
        <v/>
      </c>
    </row>
    <row r="208">
      <c r="A208" t="n">
        <v>207</v>
      </c>
      <c r="B208">
        <f>IF(A208&gt;ROWS(avaliacoes_qualidade[escola]),"",INDEX(avaliacoes_qualidade[escola],A208))</f>
        <v/>
      </c>
      <c r="C208">
        <f>IF(B208="","",INDEX(avaliacoes_qualidade[Nota média],A208))</f>
        <v/>
      </c>
      <c r="D208">
        <f>IF(B208="","",INDEX(avaliacoes_qualidade[Avaliações],A208))</f>
        <v/>
      </c>
      <c r="E208">
        <f>IF(B208="","",IFERROR(INDEX(escolas[Column1.tipo],MATCH(B208,escolas[Column1.nome],0)),"—"))</f>
        <v/>
      </c>
      <c r="F208">
        <f>IF(B208="","",SUMPRODUCT(MAX((RIGHT(B208,LEN(enderecos_escolas[cidade])+1)=" "&amp;enderecos_escolas[cidade])*LEN(enderecos_escolas[cidade]))))</f>
        <v/>
      </c>
      <c r="G208">
        <f>IF(B208="","",IFERROR(INDEX(enderecos_escolas[estado],MATCH(1,INDEX((RIGHT(B208,LEN(enderecos_escolas[cidade])+1)=" "&amp;enderecos_escolas[cidade])*(LEN(enderecos_escolas[cidade])=F208),0),0)),"—"))</f>
        <v/>
      </c>
      <c r="H208">
        <f>IF(B208="","",IFERROR(VLOOKUP(G208,'Parâmetros'!$A$5:$B$31,2,FALSE),"Não localizada"))</f>
        <v/>
      </c>
      <c r="I208">
        <f>IF(B208="","",IFERROR(INDEX(enderecos_escolas[tipoLocalizacao],MATCH(1,INDEX((RIGHT(B208,LEN(enderecos_escolas[cidade])+1)=" "&amp;enderecos_escolas[cidade])*(LEN(enderecos_escolas[cidade])=F208),0),0)),"—"))</f>
        <v/>
      </c>
      <c r="K208">
        <f>IF(C208="","",IF(AND(OR('Ranking Escolas'!$F$4="Todas",H208='Ranking Escolas'!$F$4),OR('Ranking Escolas'!$I$4="Todos",E208='Ranking Escolas'!$I$4)),C208+(1000-A208)/10000000,""))</f>
        <v/>
      </c>
      <c r="M208" t="n">
        <v>207</v>
      </c>
      <c r="N208">
        <f>IF(M208&gt;ROWS(avaliacoes_cursos[curso]),"",INDEX(avaliacoes_cursos[curso],M208))</f>
        <v/>
      </c>
      <c r="O208">
        <f>IF(N208="","",INDEX(avaliacoes_cursos[escola],M208))</f>
        <v/>
      </c>
      <c r="P208">
        <f>IF(N208="","",INDEX(avaliacoes_cursos[Nota média],M208))</f>
        <v/>
      </c>
      <c r="Q208">
        <f>IF(N208="","",IF(COUNTIF(avaliacoes_cursos[curso],N208)&gt;1,N208&amp;" — "&amp;O208,N208))</f>
        <v/>
      </c>
      <c r="R208">
        <f>IF(P208="","",P208+(1000-M208)/10000000)</f>
        <v/>
      </c>
    </row>
    <row r="209">
      <c r="A209" t="n">
        <v>208</v>
      </c>
      <c r="B209">
        <f>IF(A209&gt;ROWS(avaliacoes_qualidade[escola]),"",INDEX(avaliacoes_qualidade[escola],A209))</f>
        <v/>
      </c>
      <c r="C209">
        <f>IF(B209="","",INDEX(avaliacoes_qualidade[Nota média],A209))</f>
        <v/>
      </c>
      <c r="D209">
        <f>IF(B209="","",INDEX(avaliacoes_qualidade[Avaliações],A209))</f>
        <v/>
      </c>
      <c r="E209">
        <f>IF(B209="","",IFERROR(INDEX(escolas[Column1.tipo],MATCH(B209,escolas[Column1.nome],0)),"—"))</f>
        <v/>
      </c>
      <c r="F209">
        <f>IF(B209="","",SUMPRODUCT(MAX((RIGHT(B209,LEN(enderecos_escolas[cidade])+1)=" "&amp;enderecos_escolas[cidade])*LEN(enderecos_escolas[cidade]))))</f>
        <v/>
      </c>
      <c r="G209">
        <f>IF(B209="","",IFERROR(INDEX(enderecos_escolas[estado],MATCH(1,INDEX((RIGHT(B209,LEN(enderecos_escolas[cidade])+1)=" "&amp;enderecos_escolas[cidade])*(LEN(enderecos_escolas[cidade])=F209),0),0)),"—"))</f>
        <v/>
      </c>
      <c r="H209">
        <f>IF(B209="","",IFERROR(VLOOKUP(G209,'Parâmetros'!$A$5:$B$31,2,FALSE),"Não localizada"))</f>
        <v/>
      </c>
      <c r="I209">
        <f>IF(B209="","",IFERROR(INDEX(enderecos_escolas[tipoLocalizacao],MATCH(1,INDEX((RIGHT(B209,LEN(enderecos_escolas[cidade])+1)=" "&amp;enderecos_escolas[cidade])*(LEN(enderecos_escolas[cidade])=F209),0),0)),"—"))</f>
        <v/>
      </c>
      <c r="K209">
        <f>IF(C209="","",IF(AND(OR('Ranking Escolas'!$F$4="Todas",H209='Ranking Escolas'!$F$4),OR('Ranking Escolas'!$I$4="Todos",E209='Ranking Escolas'!$I$4)),C209+(1000-A209)/10000000,""))</f>
        <v/>
      </c>
      <c r="M209" t="n">
        <v>208</v>
      </c>
      <c r="N209">
        <f>IF(M209&gt;ROWS(avaliacoes_cursos[curso]),"",INDEX(avaliacoes_cursos[curso],M209))</f>
        <v/>
      </c>
      <c r="O209">
        <f>IF(N209="","",INDEX(avaliacoes_cursos[escola],M209))</f>
        <v/>
      </c>
      <c r="P209">
        <f>IF(N209="","",INDEX(avaliacoes_cursos[Nota média],M209))</f>
        <v/>
      </c>
      <c r="Q209">
        <f>IF(N209="","",IF(COUNTIF(avaliacoes_cursos[curso],N209)&gt;1,N209&amp;" — "&amp;O209,N209))</f>
        <v/>
      </c>
      <c r="R209">
        <f>IF(P209="","",P209+(1000-M209)/10000000)</f>
        <v/>
      </c>
    </row>
    <row r="210">
      <c r="A210" t="n">
        <v>209</v>
      </c>
      <c r="B210">
        <f>IF(A210&gt;ROWS(avaliacoes_qualidade[escola]),"",INDEX(avaliacoes_qualidade[escola],A210))</f>
        <v/>
      </c>
      <c r="C210">
        <f>IF(B210="","",INDEX(avaliacoes_qualidade[Nota média],A210))</f>
        <v/>
      </c>
      <c r="D210">
        <f>IF(B210="","",INDEX(avaliacoes_qualidade[Avaliações],A210))</f>
        <v/>
      </c>
      <c r="E210">
        <f>IF(B210="","",IFERROR(INDEX(escolas[Column1.tipo],MATCH(B210,escolas[Column1.nome],0)),"—"))</f>
        <v/>
      </c>
      <c r="F210">
        <f>IF(B210="","",SUMPRODUCT(MAX((RIGHT(B210,LEN(enderecos_escolas[cidade])+1)=" "&amp;enderecos_escolas[cidade])*LEN(enderecos_escolas[cidade]))))</f>
        <v/>
      </c>
      <c r="G210">
        <f>IF(B210="","",IFERROR(INDEX(enderecos_escolas[estado],MATCH(1,INDEX((RIGHT(B210,LEN(enderecos_escolas[cidade])+1)=" "&amp;enderecos_escolas[cidade])*(LEN(enderecos_escolas[cidade])=F210),0),0)),"—"))</f>
        <v/>
      </c>
      <c r="H210">
        <f>IF(B210="","",IFERROR(VLOOKUP(G210,'Parâmetros'!$A$5:$B$31,2,FALSE),"Não localizada"))</f>
        <v/>
      </c>
      <c r="I210">
        <f>IF(B210="","",IFERROR(INDEX(enderecos_escolas[tipoLocalizacao],MATCH(1,INDEX((RIGHT(B210,LEN(enderecos_escolas[cidade])+1)=" "&amp;enderecos_escolas[cidade])*(LEN(enderecos_escolas[cidade])=F210),0),0)),"—"))</f>
        <v/>
      </c>
      <c r="K210">
        <f>IF(C210="","",IF(AND(OR('Ranking Escolas'!$F$4="Todas",H210='Ranking Escolas'!$F$4),OR('Ranking Escolas'!$I$4="Todos",E210='Ranking Escolas'!$I$4)),C210+(1000-A210)/10000000,""))</f>
        <v/>
      </c>
      <c r="M210" t="n">
        <v>209</v>
      </c>
      <c r="N210">
        <f>IF(M210&gt;ROWS(avaliacoes_cursos[curso]),"",INDEX(avaliacoes_cursos[curso],M210))</f>
        <v/>
      </c>
      <c r="O210">
        <f>IF(N210="","",INDEX(avaliacoes_cursos[escola],M210))</f>
        <v/>
      </c>
      <c r="P210">
        <f>IF(N210="","",INDEX(avaliacoes_cursos[Nota média],M210))</f>
        <v/>
      </c>
      <c r="Q210">
        <f>IF(N210="","",IF(COUNTIF(avaliacoes_cursos[curso],N210)&gt;1,N210&amp;" — "&amp;O210,N210))</f>
        <v/>
      </c>
      <c r="R210">
        <f>IF(P210="","",P210+(1000-M210)/10000000)</f>
        <v/>
      </c>
    </row>
    <row r="211">
      <c r="A211" t="n">
        <v>210</v>
      </c>
      <c r="B211">
        <f>IF(A211&gt;ROWS(avaliacoes_qualidade[escola]),"",INDEX(avaliacoes_qualidade[escola],A211))</f>
        <v/>
      </c>
      <c r="C211">
        <f>IF(B211="","",INDEX(avaliacoes_qualidade[Nota média],A211))</f>
        <v/>
      </c>
      <c r="D211">
        <f>IF(B211="","",INDEX(avaliacoes_qualidade[Avaliações],A211))</f>
        <v/>
      </c>
      <c r="E211">
        <f>IF(B211="","",IFERROR(INDEX(escolas[Column1.tipo],MATCH(B211,escolas[Column1.nome],0)),"—"))</f>
        <v/>
      </c>
      <c r="F211">
        <f>IF(B211="","",SUMPRODUCT(MAX((RIGHT(B211,LEN(enderecos_escolas[cidade])+1)=" "&amp;enderecos_escolas[cidade])*LEN(enderecos_escolas[cidade]))))</f>
        <v/>
      </c>
      <c r="G211">
        <f>IF(B211="","",IFERROR(INDEX(enderecos_escolas[estado],MATCH(1,INDEX((RIGHT(B211,LEN(enderecos_escolas[cidade])+1)=" "&amp;enderecos_escolas[cidade])*(LEN(enderecos_escolas[cidade])=F211),0),0)),"—"))</f>
        <v/>
      </c>
      <c r="H211">
        <f>IF(B211="","",IFERROR(VLOOKUP(G211,'Parâmetros'!$A$5:$B$31,2,FALSE),"Não localizada"))</f>
        <v/>
      </c>
      <c r="I211">
        <f>IF(B211="","",IFERROR(INDEX(enderecos_escolas[tipoLocalizacao],MATCH(1,INDEX((RIGHT(B211,LEN(enderecos_escolas[cidade])+1)=" "&amp;enderecos_escolas[cidade])*(LEN(enderecos_escolas[cidade])=F211),0),0)),"—"))</f>
        <v/>
      </c>
      <c r="K211">
        <f>IF(C211="","",IF(AND(OR('Ranking Escolas'!$F$4="Todas",H211='Ranking Escolas'!$F$4),OR('Ranking Escolas'!$I$4="Todos",E211='Ranking Escolas'!$I$4)),C211+(1000-A211)/10000000,""))</f>
        <v/>
      </c>
      <c r="M211" t="n">
        <v>210</v>
      </c>
      <c r="N211">
        <f>IF(M211&gt;ROWS(avaliacoes_cursos[curso]),"",INDEX(avaliacoes_cursos[curso],M211))</f>
        <v/>
      </c>
      <c r="O211">
        <f>IF(N211="","",INDEX(avaliacoes_cursos[escola],M211))</f>
        <v/>
      </c>
      <c r="P211">
        <f>IF(N211="","",INDEX(avaliacoes_cursos[Nota média],M211))</f>
        <v/>
      </c>
      <c r="Q211">
        <f>IF(N211="","",IF(COUNTIF(avaliacoes_cursos[curso],N211)&gt;1,N211&amp;" — "&amp;O211,N211))</f>
        <v/>
      </c>
      <c r="R211">
        <f>IF(P211="","",P211+(1000-M211)/10000000)</f>
        <v/>
      </c>
    </row>
    <row r="212">
      <c r="A212" t="n">
        <v>211</v>
      </c>
      <c r="B212">
        <f>IF(A212&gt;ROWS(avaliacoes_qualidade[escola]),"",INDEX(avaliacoes_qualidade[escola],A212))</f>
        <v/>
      </c>
      <c r="C212">
        <f>IF(B212="","",INDEX(avaliacoes_qualidade[Nota média],A212))</f>
        <v/>
      </c>
      <c r="D212">
        <f>IF(B212="","",INDEX(avaliacoes_qualidade[Avaliações],A212))</f>
        <v/>
      </c>
      <c r="E212">
        <f>IF(B212="","",IFERROR(INDEX(escolas[Column1.tipo],MATCH(B212,escolas[Column1.nome],0)),"—"))</f>
        <v/>
      </c>
      <c r="F212">
        <f>IF(B212="","",SUMPRODUCT(MAX((RIGHT(B212,LEN(enderecos_escolas[cidade])+1)=" "&amp;enderecos_escolas[cidade])*LEN(enderecos_escolas[cidade]))))</f>
        <v/>
      </c>
      <c r="G212">
        <f>IF(B212="","",IFERROR(INDEX(enderecos_escolas[estado],MATCH(1,INDEX((RIGHT(B212,LEN(enderecos_escolas[cidade])+1)=" "&amp;enderecos_escolas[cidade])*(LEN(enderecos_escolas[cidade])=F212),0),0)),"—"))</f>
        <v/>
      </c>
      <c r="H212">
        <f>IF(B212="","",IFERROR(VLOOKUP(G212,'Parâmetros'!$A$5:$B$31,2,FALSE),"Não localizada"))</f>
        <v/>
      </c>
      <c r="I212">
        <f>IF(B212="","",IFERROR(INDEX(enderecos_escolas[tipoLocalizacao],MATCH(1,INDEX((RIGHT(B212,LEN(enderecos_escolas[cidade])+1)=" "&amp;enderecos_escolas[cidade])*(LEN(enderecos_escolas[cidade])=F212),0),0)),"—"))</f>
        <v/>
      </c>
      <c r="K212">
        <f>IF(C212="","",IF(AND(OR('Ranking Escolas'!$F$4="Todas",H212='Ranking Escolas'!$F$4),OR('Ranking Escolas'!$I$4="Todos",E212='Ranking Escolas'!$I$4)),C212+(1000-A212)/10000000,""))</f>
        <v/>
      </c>
      <c r="M212" t="n">
        <v>211</v>
      </c>
      <c r="N212">
        <f>IF(M212&gt;ROWS(avaliacoes_cursos[curso]),"",INDEX(avaliacoes_cursos[curso],M212))</f>
        <v/>
      </c>
      <c r="O212">
        <f>IF(N212="","",INDEX(avaliacoes_cursos[escola],M212))</f>
        <v/>
      </c>
      <c r="P212">
        <f>IF(N212="","",INDEX(avaliacoes_cursos[Nota média],M212))</f>
        <v/>
      </c>
      <c r="Q212">
        <f>IF(N212="","",IF(COUNTIF(avaliacoes_cursos[curso],N212)&gt;1,N212&amp;" — "&amp;O212,N212))</f>
        <v/>
      </c>
      <c r="R212">
        <f>IF(P212="","",P212+(1000-M212)/10000000)</f>
        <v/>
      </c>
    </row>
    <row r="213">
      <c r="A213" t="n">
        <v>212</v>
      </c>
      <c r="B213">
        <f>IF(A213&gt;ROWS(avaliacoes_qualidade[escola]),"",INDEX(avaliacoes_qualidade[escola],A213))</f>
        <v/>
      </c>
      <c r="C213">
        <f>IF(B213="","",INDEX(avaliacoes_qualidade[Nota média],A213))</f>
        <v/>
      </c>
      <c r="D213">
        <f>IF(B213="","",INDEX(avaliacoes_qualidade[Avaliações],A213))</f>
        <v/>
      </c>
      <c r="E213">
        <f>IF(B213="","",IFERROR(INDEX(escolas[Column1.tipo],MATCH(B213,escolas[Column1.nome],0)),"—"))</f>
        <v/>
      </c>
      <c r="F213">
        <f>IF(B213="","",SUMPRODUCT(MAX((RIGHT(B213,LEN(enderecos_escolas[cidade])+1)=" "&amp;enderecos_escolas[cidade])*LEN(enderecos_escolas[cidade]))))</f>
        <v/>
      </c>
      <c r="G213">
        <f>IF(B213="","",IFERROR(INDEX(enderecos_escolas[estado],MATCH(1,INDEX((RIGHT(B213,LEN(enderecos_escolas[cidade])+1)=" "&amp;enderecos_escolas[cidade])*(LEN(enderecos_escolas[cidade])=F213),0),0)),"—"))</f>
        <v/>
      </c>
      <c r="H213">
        <f>IF(B213="","",IFERROR(VLOOKUP(G213,'Parâmetros'!$A$5:$B$31,2,FALSE),"Não localizada"))</f>
        <v/>
      </c>
      <c r="I213">
        <f>IF(B213="","",IFERROR(INDEX(enderecos_escolas[tipoLocalizacao],MATCH(1,INDEX((RIGHT(B213,LEN(enderecos_escolas[cidade])+1)=" "&amp;enderecos_escolas[cidade])*(LEN(enderecos_escolas[cidade])=F213),0),0)),"—"))</f>
        <v/>
      </c>
      <c r="K213">
        <f>IF(C213="","",IF(AND(OR('Ranking Escolas'!$F$4="Todas",H213='Ranking Escolas'!$F$4),OR('Ranking Escolas'!$I$4="Todos",E213='Ranking Escolas'!$I$4)),C213+(1000-A213)/10000000,""))</f>
        <v/>
      </c>
      <c r="M213" t="n">
        <v>212</v>
      </c>
      <c r="N213">
        <f>IF(M213&gt;ROWS(avaliacoes_cursos[curso]),"",INDEX(avaliacoes_cursos[curso],M213))</f>
        <v/>
      </c>
      <c r="O213">
        <f>IF(N213="","",INDEX(avaliacoes_cursos[escola],M213))</f>
        <v/>
      </c>
      <c r="P213">
        <f>IF(N213="","",INDEX(avaliacoes_cursos[Nota média],M213))</f>
        <v/>
      </c>
      <c r="Q213">
        <f>IF(N213="","",IF(COUNTIF(avaliacoes_cursos[curso],N213)&gt;1,N213&amp;" — "&amp;O213,N213))</f>
        <v/>
      </c>
      <c r="R213">
        <f>IF(P213="","",P213+(1000-M213)/10000000)</f>
        <v/>
      </c>
    </row>
    <row r="214">
      <c r="A214" t="n">
        <v>213</v>
      </c>
      <c r="B214">
        <f>IF(A214&gt;ROWS(avaliacoes_qualidade[escola]),"",INDEX(avaliacoes_qualidade[escola],A214))</f>
        <v/>
      </c>
      <c r="C214">
        <f>IF(B214="","",INDEX(avaliacoes_qualidade[Nota média],A214))</f>
        <v/>
      </c>
      <c r="D214">
        <f>IF(B214="","",INDEX(avaliacoes_qualidade[Avaliações],A214))</f>
        <v/>
      </c>
      <c r="E214">
        <f>IF(B214="","",IFERROR(INDEX(escolas[Column1.tipo],MATCH(B214,escolas[Column1.nome],0)),"—"))</f>
        <v/>
      </c>
      <c r="F214">
        <f>IF(B214="","",SUMPRODUCT(MAX((RIGHT(B214,LEN(enderecos_escolas[cidade])+1)=" "&amp;enderecos_escolas[cidade])*LEN(enderecos_escolas[cidade]))))</f>
        <v/>
      </c>
      <c r="G214">
        <f>IF(B214="","",IFERROR(INDEX(enderecos_escolas[estado],MATCH(1,INDEX((RIGHT(B214,LEN(enderecos_escolas[cidade])+1)=" "&amp;enderecos_escolas[cidade])*(LEN(enderecos_escolas[cidade])=F214),0),0)),"—"))</f>
        <v/>
      </c>
      <c r="H214">
        <f>IF(B214="","",IFERROR(VLOOKUP(G214,'Parâmetros'!$A$5:$B$31,2,FALSE),"Não localizada"))</f>
        <v/>
      </c>
      <c r="I214">
        <f>IF(B214="","",IFERROR(INDEX(enderecos_escolas[tipoLocalizacao],MATCH(1,INDEX((RIGHT(B214,LEN(enderecos_escolas[cidade])+1)=" "&amp;enderecos_escolas[cidade])*(LEN(enderecos_escolas[cidade])=F214),0),0)),"—"))</f>
        <v/>
      </c>
      <c r="K214">
        <f>IF(C214="","",IF(AND(OR('Ranking Escolas'!$F$4="Todas",H214='Ranking Escolas'!$F$4),OR('Ranking Escolas'!$I$4="Todos",E214='Ranking Escolas'!$I$4)),C214+(1000-A214)/10000000,""))</f>
        <v/>
      </c>
      <c r="M214" t="n">
        <v>213</v>
      </c>
      <c r="N214">
        <f>IF(M214&gt;ROWS(avaliacoes_cursos[curso]),"",INDEX(avaliacoes_cursos[curso],M214))</f>
        <v/>
      </c>
      <c r="O214">
        <f>IF(N214="","",INDEX(avaliacoes_cursos[escola],M214))</f>
        <v/>
      </c>
      <c r="P214">
        <f>IF(N214="","",INDEX(avaliacoes_cursos[Nota média],M214))</f>
        <v/>
      </c>
      <c r="Q214">
        <f>IF(N214="","",IF(COUNTIF(avaliacoes_cursos[curso],N214)&gt;1,N214&amp;" — "&amp;O214,N214))</f>
        <v/>
      </c>
      <c r="R214">
        <f>IF(P214="","",P214+(1000-M214)/10000000)</f>
        <v/>
      </c>
    </row>
    <row r="215">
      <c r="A215" t="n">
        <v>214</v>
      </c>
      <c r="B215">
        <f>IF(A215&gt;ROWS(avaliacoes_qualidade[escola]),"",INDEX(avaliacoes_qualidade[escola],A215))</f>
        <v/>
      </c>
      <c r="C215">
        <f>IF(B215="","",INDEX(avaliacoes_qualidade[Nota média],A215))</f>
        <v/>
      </c>
      <c r="D215">
        <f>IF(B215="","",INDEX(avaliacoes_qualidade[Avaliações],A215))</f>
        <v/>
      </c>
      <c r="E215">
        <f>IF(B215="","",IFERROR(INDEX(escolas[Column1.tipo],MATCH(B215,escolas[Column1.nome],0)),"—"))</f>
        <v/>
      </c>
      <c r="F215">
        <f>IF(B215="","",SUMPRODUCT(MAX((RIGHT(B215,LEN(enderecos_escolas[cidade])+1)=" "&amp;enderecos_escolas[cidade])*LEN(enderecos_escolas[cidade]))))</f>
        <v/>
      </c>
      <c r="G215">
        <f>IF(B215="","",IFERROR(INDEX(enderecos_escolas[estado],MATCH(1,INDEX((RIGHT(B215,LEN(enderecos_escolas[cidade])+1)=" "&amp;enderecos_escolas[cidade])*(LEN(enderecos_escolas[cidade])=F215),0),0)),"—"))</f>
        <v/>
      </c>
      <c r="H215">
        <f>IF(B215="","",IFERROR(VLOOKUP(G215,'Parâmetros'!$A$5:$B$31,2,FALSE),"Não localizada"))</f>
        <v/>
      </c>
      <c r="I215">
        <f>IF(B215="","",IFERROR(INDEX(enderecos_escolas[tipoLocalizacao],MATCH(1,INDEX((RIGHT(B215,LEN(enderecos_escolas[cidade])+1)=" "&amp;enderecos_escolas[cidade])*(LEN(enderecos_escolas[cidade])=F215),0),0)),"—"))</f>
        <v/>
      </c>
      <c r="K215">
        <f>IF(C215="","",IF(AND(OR('Ranking Escolas'!$F$4="Todas",H215='Ranking Escolas'!$F$4),OR('Ranking Escolas'!$I$4="Todos",E215='Ranking Escolas'!$I$4)),C215+(1000-A215)/10000000,""))</f>
        <v/>
      </c>
      <c r="M215" t="n">
        <v>214</v>
      </c>
      <c r="N215">
        <f>IF(M215&gt;ROWS(avaliacoes_cursos[curso]),"",INDEX(avaliacoes_cursos[curso],M215))</f>
        <v/>
      </c>
      <c r="O215">
        <f>IF(N215="","",INDEX(avaliacoes_cursos[escola],M215))</f>
        <v/>
      </c>
      <c r="P215">
        <f>IF(N215="","",INDEX(avaliacoes_cursos[Nota média],M215))</f>
        <v/>
      </c>
      <c r="Q215">
        <f>IF(N215="","",IF(COUNTIF(avaliacoes_cursos[curso],N215)&gt;1,N215&amp;" — "&amp;O215,N215))</f>
        <v/>
      </c>
      <c r="R215">
        <f>IF(P215="","",P215+(1000-M215)/10000000)</f>
        <v/>
      </c>
    </row>
    <row r="216">
      <c r="A216" t="n">
        <v>215</v>
      </c>
      <c r="B216">
        <f>IF(A216&gt;ROWS(avaliacoes_qualidade[escola]),"",INDEX(avaliacoes_qualidade[escola],A216))</f>
        <v/>
      </c>
      <c r="C216">
        <f>IF(B216="","",INDEX(avaliacoes_qualidade[Nota média],A216))</f>
        <v/>
      </c>
      <c r="D216">
        <f>IF(B216="","",INDEX(avaliacoes_qualidade[Avaliações],A216))</f>
        <v/>
      </c>
      <c r="E216">
        <f>IF(B216="","",IFERROR(INDEX(escolas[Column1.tipo],MATCH(B216,escolas[Column1.nome],0)),"—"))</f>
        <v/>
      </c>
      <c r="F216">
        <f>IF(B216="","",SUMPRODUCT(MAX((RIGHT(B216,LEN(enderecos_escolas[cidade])+1)=" "&amp;enderecos_escolas[cidade])*LEN(enderecos_escolas[cidade]))))</f>
        <v/>
      </c>
      <c r="G216">
        <f>IF(B216="","",IFERROR(INDEX(enderecos_escolas[estado],MATCH(1,INDEX((RIGHT(B216,LEN(enderecos_escolas[cidade])+1)=" "&amp;enderecos_escolas[cidade])*(LEN(enderecos_escolas[cidade])=F216),0),0)),"—"))</f>
        <v/>
      </c>
      <c r="H216">
        <f>IF(B216="","",IFERROR(VLOOKUP(G216,'Parâmetros'!$A$5:$B$31,2,FALSE),"Não localizada"))</f>
        <v/>
      </c>
      <c r="I216">
        <f>IF(B216="","",IFERROR(INDEX(enderecos_escolas[tipoLocalizacao],MATCH(1,INDEX((RIGHT(B216,LEN(enderecos_escolas[cidade])+1)=" "&amp;enderecos_escolas[cidade])*(LEN(enderecos_escolas[cidade])=F216),0),0)),"—"))</f>
        <v/>
      </c>
      <c r="K216">
        <f>IF(C216="","",IF(AND(OR('Ranking Escolas'!$F$4="Todas",H216='Ranking Escolas'!$F$4),OR('Ranking Escolas'!$I$4="Todos",E216='Ranking Escolas'!$I$4)),C216+(1000-A216)/10000000,""))</f>
        <v/>
      </c>
      <c r="M216" t="n">
        <v>215</v>
      </c>
      <c r="N216">
        <f>IF(M216&gt;ROWS(avaliacoes_cursos[curso]),"",INDEX(avaliacoes_cursos[curso],M216))</f>
        <v/>
      </c>
      <c r="O216">
        <f>IF(N216="","",INDEX(avaliacoes_cursos[escola],M216))</f>
        <v/>
      </c>
      <c r="P216">
        <f>IF(N216="","",INDEX(avaliacoes_cursos[Nota média],M216))</f>
        <v/>
      </c>
      <c r="Q216">
        <f>IF(N216="","",IF(COUNTIF(avaliacoes_cursos[curso],N216)&gt;1,N216&amp;" — "&amp;O216,N216))</f>
        <v/>
      </c>
      <c r="R216">
        <f>IF(P216="","",P216+(1000-M216)/10000000)</f>
        <v/>
      </c>
    </row>
    <row r="217">
      <c r="A217" t="n">
        <v>216</v>
      </c>
      <c r="B217">
        <f>IF(A217&gt;ROWS(avaliacoes_qualidade[escola]),"",INDEX(avaliacoes_qualidade[escola],A217))</f>
        <v/>
      </c>
      <c r="C217">
        <f>IF(B217="","",INDEX(avaliacoes_qualidade[Nota média],A217))</f>
        <v/>
      </c>
      <c r="D217">
        <f>IF(B217="","",INDEX(avaliacoes_qualidade[Avaliações],A217))</f>
        <v/>
      </c>
      <c r="E217">
        <f>IF(B217="","",IFERROR(INDEX(escolas[Column1.tipo],MATCH(B217,escolas[Column1.nome],0)),"—"))</f>
        <v/>
      </c>
      <c r="F217">
        <f>IF(B217="","",SUMPRODUCT(MAX((RIGHT(B217,LEN(enderecos_escolas[cidade])+1)=" "&amp;enderecos_escolas[cidade])*LEN(enderecos_escolas[cidade]))))</f>
        <v/>
      </c>
      <c r="G217">
        <f>IF(B217="","",IFERROR(INDEX(enderecos_escolas[estado],MATCH(1,INDEX((RIGHT(B217,LEN(enderecos_escolas[cidade])+1)=" "&amp;enderecos_escolas[cidade])*(LEN(enderecos_escolas[cidade])=F217),0),0)),"—"))</f>
        <v/>
      </c>
      <c r="H217">
        <f>IF(B217="","",IFERROR(VLOOKUP(G217,'Parâmetros'!$A$5:$B$31,2,FALSE),"Não localizada"))</f>
        <v/>
      </c>
      <c r="I217">
        <f>IF(B217="","",IFERROR(INDEX(enderecos_escolas[tipoLocalizacao],MATCH(1,INDEX((RIGHT(B217,LEN(enderecos_escolas[cidade])+1)=" "&amp;enderecos_escolas[cidade])*(LEN(enderecos_escolas[cidade])=F217),0),0)),"—"))</f>
        <v/>
      </c>
      <c r="K217">
        <f>IF(C217="","",IF(AND(OR('Ranking Escolas'!$F$4="Todas",H217='Ranking Escolas'!$F$4),OR('Ranking Escolas'!$I$4="Todos",E217='Ranking Escolas'!$I$4)),C217+(1000-A217)/10000000,""))</f>
        <v/>
      </c>
      <c r="M217" t="n">
        <v>216</v>
      </c>
      <c r="N217">
        <f>IF(M217&gt;ROWS(avaliacoes_cursos[curso]),"",INDEX(avaliacoes_cursos[curso],M217))</f>
        <v/>
      </c>
      <c r="O217">
        <f>IF(N217="","",INDEX(avaliacoes_cursos[escola],M217))</f>
        <v/>
      </c>
      <c r="P217">
        <f>IF(N217="","",INDEX(avaliacoes_cursos[Nota média],M217))</f>
        <v/>
      </c>
      <c r="Q217">
        <f>IF(N217="","",IF(COUNTIF(avaliacoes_cursos[curso],N217)&gt;1,N217&amp;" — "&amp;O217,N217))</f>
        <v/>
      </c>
      <c r="R217">
        <f>IF(P217="","",P217+(1000-M217)/10000000)</f>
        <v/>
      </c>
    </row>
    <row r="218">
      <c r="A218" t="n">
        <v>217</v>
      </c>
      <c r="B218">
        <f>IF(A218&gt;ROWS(avaliacoes_qualidade[escola]),"",INDEX(avaliacoes_qualidade[escola],A218))</f>
        <v/>
      </c>
      <c r="C218">
        <f>IF(B218="","",INDEX(avaliacoes_qualidade[Nota média],A218))</f>
        <v/>
      </c>
      <c r="D218">
        <f>IF(B218="","",INDEX(avaliacoes_qualidade[Avaliações],A218))</f>
        <v/>
      </c>
      <c r="E218">
        <f>IF(B218="","",IFERROR(INDEX(escolas[Column1.tipo],MATCH(B218,escolas[Column1.nome],0)),"—"))</f>
        <v/>
      </c>
      <c r="F218">
        <f>IF(B218="","",SUMPRODUCT(MAX((RIGHT(B218,LEN(enderecos_escolas[cidade])+1)=" "&amp;enderecos_escolas[cidade])*LEN(enderecos_escolas[cidade]))))</f>
        <v/>
      </c>
      <c r="G218">
        <f>IF(B218="","",IFERROR(INDEX(enderecos_escolas[estado],MATCH(1,INDEX((RIGHT(B218,LEN(enderecos_escolas[cidade])+1)=" "&amp;enderecos_escolas[cidade])*(LEN(enderecos_escolas[cidade])=F218),0),0)),"—"))</f>
        <v/>
      </c>
      <c r="H218">
        <f>IF(B218="","",IFERROR(VLOOKUP(G218,'Parâmetros'!$A$5:$B$31,2,FALSE),"Não localizada"))</f>
        <v/>
      </c>
      <c r="I218">
        <f>IF(B218="","",IFERROR(INDEX(enderecos_escolas[tipoLocalizacao],MATCH(1,INDEX((RIGHT(B218,LEN(enderecos_escolas[cidade])+1)=" "&amp;enderecos_escolas[cidade])*(LEN(enderecos_escolas[cidade])=F218),0),0)),"—"))</f>
        <v/>
      </c>
      <c r="K218">
        <f>IF(C218="","",IF(AND(OR('Ranking Escolas'!$F$4="Todas",H218='Ranking Escolas'!$F$4),OR('Ranking Escolas'!$I$4="Todos",E218='Ranking Escolas'!$I$4)),C218+(1000-A218)/10000000,""))</f>
        <v/>
      </c>
      <c r="M218" t="n">
        <v>217</v>
      </c>
      <c r="N218">
        <f>IF(M218&gt;ROWS(avaliacoes_cursos[curso]),"",INDEX(avaliacoes_cursos[curso],M218))</f>
        <v/>
      </c>
      <c r="O218">
        <f>IF(N218="","",INDEX(avaliacoes_cursos[escola],M218))</f>
        <v/>
      </c>
      <c r="P218">
        <f>IF(N218="","",INDEX(avaliacoes_cursos[Nota média],M218))</f>
        <v/>
      </c>
      <c r="Q218">
        <f>IF(N218="","",IF(COUNTIF(avaliacoes_cursos[curso],N218)&gt;1,N218&amp;" — "&amp;O218,N218))</f>
        <v/>
      </c>
      <c r="R218">
        <f>IF(P218="","",P218+(1000-M218)/10000000)</f>
        <v/>
      </c>
    </row>
    <row r="219">
      <c r="A219" t="n">
        <v>218</v>
      </c>
      <c r="B219">
        <f>IF(A219&gt;ROWS(avaliacoes_qualidade[escola]),"",INDEX(avaliacoes_qualidade[escola],A219))</f>
        <v/>
      </c>
      <c r="C219">
        <f>IF(B219="","",INDEX(avaliacoes_qualidade[Nota média],A219))</f>
        <v/>
      </c>
      <c r="D219">
        <f>IF(B219="","",INDEX(avaliacoes_qualidade[Avaliações],A219))</f>
        <v/>
      </c>
      <c r="E219">
        <f>IF(B219="","",IFERROR(INDEX(escolas[Column1.tipo],MATCH(B219,escolas[Column1.nome],0)),"—"))</f>
        <v/>
      </c>
      <c r="F219">
        <f>IF(B219="","",SUMPRODUCT(MAX((RIGHT(B219,LEN(enderecos_escolas[cidade])+1)=" "&amp;enderecos_escolas[cidade])*LEN(enderecos_escolas[cidade]))))</f>
        <v/>
      </c>
      <c r="G219">
        <f>IF(B219="","",IFERROR(INDEX(enderecos_escolas[estado],MATCH(1,INDEX((RIGHT(B219,LEN(enderecos_escolas[cidade])+1)=" "&amp;enderecos_escolas[cidade])*(LEN(enderecos_escolas[cidade])=F219),0),0)),"—"))</f>
        <v/>
      </c>
      <c r="H219">
        <f>IF(B219="","",IFERROR(VLOOKUP(G219,'Parâmetros'!$A$5:$B$31,2,FALSE),"Não localizada"))</f>
        <v/>
      </c>
      <c r="I219">
        <f>IF(B219="","",IFERROR(INDEX(enderecos_escolas[tipoLocalizacao],MATCH(1,INDEX((RIGHT(B219,LEN(enderecos_escolas[cidade])+1)=" "&amp;enderecos_escolas[cidade])*(LEN(enderecos_escolas[cidade])=F219),0),0)),"—"))</f>
        <v/>
      </c>
      <c r="K219">
        <f>IF(C219="","",IF(AND(OR('Ranking Escolas'!$F$4="Todas",H219='Ranking Escolas'!$F$4),OR('Ranking Escolas'!$I$4="Todos",E219='Ranking Escolas'!$I$4)),C219+(1000-A219)/10000000,""))</f>
        <v/>
      </c>
      <c r="M219" t="n">
        <v>218</v>
      </c>
      <c r="N219">
        <f>IF(M219&gt;ROWS(avaliacoes_cursos[curso]),"",INDEX(avaliacoes_cursos[curso],M219))</f>
        <v/>
      </c>
      <c r="O219">
        <f>IF(N219="","",INDEX(avaliacoes_cursos[escola],M219))</f>
        <v/>
      </c>
      <c r="P219">
        <f>IF(N219="","",INDEX(avaliacoes_cursos[Nota média],M219))</f>
        <v/>
      </c>
      <c r="Q219">
        <f>IF(N219="","",IF(COUNTIF(avaliacoes_cursos[curso],N219)&gt;1,N219&amp;" — "&amp;O219,N219))</f>
        <v/>
      </c>
      <c r="R219">
        <f>IF(P219="","",P219+(1000-M219)/10000000)</f>
        <v/>
      </c>
    </row>
    <row r="220">
      <c r="A220" t="n">
        <v>219</v>
      </c>
      <c r="B220">
        <f>IF(A220&gt;ROWS(avaliacoes_qualidade[escola]),"",INDEX(avaliacoes_qualidade[escola],A220))</f>
        <v/>
      </c>
      <c r="C220">
        <f>IF(B220="","",INDEX(avaliacoes_qualidade[Nota média],A220))</f>
        <v/>
      </c>
      <c r="D220">
        <f>IF(B220="","",INDEX(avaliacoes_qualidade[Avaliações],A220))</f>
        <v/>
      </c>
      <c r="E220">
        <f>IF(B220="","",IFERROR(INDEX(escolas[Column1.tipo],MATCH(B220,escolas[Column1.nome],0)),"—"))</f>
        <v/>
      </c>
      <c r="F220">
        <f>IF(B220="","",SUMPRODUCT(MAX((RIGHT(B220,LEN(enderecos_escolas[cidade])+1)=" "&amp;enderecos_escolas[cidade])*LEN(enderecos_escolas[cidade]))))</f>
        <v/>
      </c>
      <c r="G220">
        <f>IF(B220="","",IFERROR(INDEX(enderecos_escolas[estado],MATCH(1,INDEX((RIGHT(B220,LEN(enderecos_escolas[cidade])+1)=" "&amp;enderecos_escolas[cidade])*(LEN(enderecos_escolas[cidade])=F220),0),0)),"—"))</f>
        <v/>
      </c>
      <c r="H220">
        <f>IF(B220="","",IFERROR(VLOOKUP(G220,'Parâmetros'!$A$5:$B$31,2,FALSE),"Não localizada"))</f>
        <v/>
      </c>
      <c r="I220">
        <f>IF(B220="","",IFERROR(INDEX(enderecos_escolas[tipoLocalizacao],MATCH(1,INDEX((RIGHT(B220,LEN(enderecos_escolas[cidade])+1)=" "&amp;enderecos_escolas[cidade])*(LEN(enderecos_escolas[cidade])=F220),0),0)),"—"))</f>
        <v/>
      </c>
      <c r="K220">
        <f>IF(C220="","",IF(AND(OR('Ranking Escolas'!$F$4="Todas",H220='Ranking Escolas'!$F$4),OR('Ranking Escolas'!$I$4="Todos",E220='Ranking Escolas'!$I$4)),C220+(1000-A220)/10000000,""))</f>
        <v/>
      </c>
      <c r="M220" t="n">
        <v>219</v>
      </c>
      <c r="N220">
        <f>IF(M220&gt;ROWS(avaliacoes_cursos[curso]),"",INDEX(avaliacoes_cursos[curso],M220))</f>
        <v/>
      </c>
      <c r="O220">
        <f>IF(N220="","",INDEX(avaliacoes_cursos[escola],M220))</f>
        <v/>
      </c>
      <c r="P220">
        <f>IF(N220="","",INDEX(avaliacoes_cursos[Nota média],M220))</f>
        <v/>
      </c>
      <c r="Q220">
        <f>IF(N220="","",IF(COUNTIF(avaliacoes_cursos[curso],N220)&gt;1,N220&amp;" — "&amp;O220,N220))</f>
        <v/>
      </c>
      <c r="R220">
        <f>IF(P220="","",P220+(1000-M220)/10000000)</f>
        <v/>
      </c>
    </row>
    <row r="221">
      <c r="A221" t="n">
        <v>220</v>
      </c>
      <c r="B221">
        <f>IF(A221&gt;ROWS(avaliacoes_qualidade[escola]),"",INDEX(avaliacoes_qualidade[escola],A221))</f>
        <v/>
      </c>
      <c r="C221">
        <f>IF(B221="","",INDEX(avaliacoes_qualidade[Nota média],A221))</f>
        <v/>
      </c>
      <c r="D221">
        <f>IF(B221="","",INDEX(avaliacoes_qualidade[Avaliações],A221))</f>
        <v/>
      </c>
      <c r="E221">
        <f>IF(B221="","",IFERROR(INDEX(escolas[Column1.tipo],MATCH(B221,escolas[Column1.nome],0)),"—"))</f>
        <v/>
      </c>
      <c r="F221">
        <f>IF(B221="","",SUMPRODUCT(MAX((RIGHT(B221,LEN(enderecos_escolas[cidade])+1)=" "&amp;enderecos_escolas[cidade])*LEN(enderecos_escolas[cidade]))))</f>
        <v/>
      </c>
      <c r="G221">
        <f>IF(B221="","",IFERROR(INDEX(enderecos_escolas[estado],MATCH(1,INDEX((RIGHT(B221,LEN(enderecos_escolas[cidade])+1)=" "&amp;enderecos_escolas[cidade])*(LEN(enderecos_escolas[cidade])=F221),0),0)),"—"))</f>
        <v/>
      </c>
      <c r="H221">
        <f>IF(B221="","",IFERROR(VLOOKUP(G221,'Parâmetros'!$A$5:$B$31,2,FALSE),"Não localizada"))</f>
        <v/>
      </c>
      <c r="I221">
        <f>IF(B221="","",IFERROR(INDEX(enderecos_escolas[tipoLocalizacao],MATCH(1,INDEX((RIGHT(B221,LEN(enderecos_escolas[cidade])+1)=" "&amp;enderecos_escolas[cidade])*(LEN(enderecos_escolas[cidade])=F221),0),0)),"—"))</f>
        <v/>
      </c>
      <c r="K221">
        <f>IF(C221="","",IF(AND(OR('Ranking Escolas'!$F$4="Todas",H221='Ranking Escolas'!$F$4),OR('Ranking Escolas'!$I$4="Todos",E221='Ranking Escolas'!$I$4)),C221+(1000-A221)/10000000,""))</f>
        <v/>
      </c>
      <c r="M221" t="n">
        <v>220</v>
      </c>
      <c r="N221">
        <f>IF(M221&gt;ROWS(avaliacoes_cursos[curso]),"",INDEX(avaliacoes_cursos[curso],M221))</f>
        <v/>
      </c>
      <c r="O221">
        <f>IF(N221="","",INDEX(avaliacoes_cursos[escola],M221))</f>
        <v/>
      </c>
      <c r="P221">
        <f>IF(N221="","",INDEX(avaliacoes_cursos[Nota média],M221))</f>
        <v/>
      </c>
      <c r="Q221">
        <f>IF(N221="","",IF(COUNTIF(avaliacoes_cursos[curso],N221)&gt;1,N221&amp;" — "&amp;O221,N221))</f>
        <v/>
      </c>
      <c r="R221">
        <f>IF(P221="","",P221+(1000-M221)/10000000)</f>
        <v/>
      </c>
    </row>
    <row r="222">
      <c r="A222" t="n">
        <v>221</v>
      </c>
      <c r="B222">
        <f>IF(A222&gt;ROWS(avaliacoes_qualidade[escola]),"",INDEX(avaliacoes_qualidade[escola],A222))</f>
        <v/>
      </c>
      <c r="C222">
        <f>IF(B222="","",INDEX(avaliacoes_qualidade[Nota média],A222))</f>
        <v/>
      </c>
      <c r="D222">
        <f>IF(B222="","",INDEX(avaliacoes_qualidade[Avaliações],A222))</f>
        <v/>
      </c>
      <c r="E222">
        <f>IF(B222="","",IFERROR(INDEX(escolas[Column1.tipo],MATCH(B222,escolas[Column1.nome],0)),"—"))</f>
        <v/>
      </c>
      <c r="F222">
        <f>IF(B222="","",SUMPRODUCT(MAX((RIGHT(B222,LEN(enderecos_escolas[cidade])+1)=" "&amp;enderecos_escolas[cidade])*LEN(enderecos_escolas[cidade]))))</f>
        <v/>
      </c>
      <c r="G222">
        <f>IF(B222="","",IFERROR(INDEX(enderecos_escolas[estado],MATCH(1,INDEX((RIGHT(B222,LEN(enderecos_escolas[cidade])+1)=" "&amp;enderecos_escolas[cidade])*(LEN(enderecos_escolas[cidade])=F222),0),0)),"—"))</f>
        <v/>
      </c>
      <c r="H222">
        <f>IF(B222="","",IFERROR(VLOOKUP(G222,'Parâmetros'!$A$5:$B$31,2,FALSE),"Não localizada"))</f>
        <v/>
      </c>
      <c r="I222">
        <f>IF(B222="","",IFERROR(INDEX(enderecos_escolas[tipoLocalizacao],MATCH(1,INDEX((RIGHT(B222,LEN(enderecos_escolas[cidade])+1)=" "&amp;enderecos_escolas[cidade])*(LEN(enderecos_escolas[cidade])=F222),0),0)),"—"))</f>
        <v/>
      </c>
      <c r="K222">
        <f>IF(C222="","",IF(AND(OR('Ranking Escolas'!$F$4="Todas",H222='Ranking Escolas'!$F$4),OR('Ranking Escolas'!$I$4="Todos",E222='Ranking Escolas'!$I$4)),C222+(1000-A222)/10000000,""))</f>
        <v/>
      </c>
      <c r="M222" t="n">
        <v>221</v>
      </c>
      <c r="N222">
        <f>IF(M222&gt;ROWS(avaliacoes_cursos[curso]),"",INDEX(avaliacoes_cursos[curso],M222))</f>
        <v/>
      </c>
      <c r="O222">
        <f>IF(N222="","",INDEX(avaliacoes_cursos[escola],M222))</f>
        <v/>
      </c>
      <c r="P222">
        <f>IF(N222="","",INDEX(avaliacoes_cursos[Nota média],M222))</f>
        <v/>
      </c>
      <c r="Q222">
        <f>IF(N222="","",IF(COUNTIF(avaliacoes_cursos[curso],N222)&gt;1,N222&amp;" — "&amp;O222,N222))</f>
        <v/>
      </c>
      <c r="R222">
        <f>IF(P222="","",P222+(1000-M222)/10000000)</f>
        <v/>
      </c>
    </row>
    <row r="223">
      <c r="A223" t="n">
        <v>222</v>
      </c>
      <c r="B223">
        <f>IF(A223&gt;ROWS(avaliacoes_qualidade[escola]),"",INDEX(avaliacoes_qualidade[escola],A223))</f>
        <v/>
      </c>
      <c r="C223">
        <f>IF(B223="","",INDEX(avaliacoes_qualidade[Nota média],A223))</f>
        <v/>
      </c>
      <c r="D223">
        <f>IF(B223="","",INDEX(avaliacoes_qualidade[Avaliações],A223))</f>
        <v/>
      </c>
      <c r="E223">
        <f>IF(B223="","",IFERROR(INDEX(escolas[Column1.tipo],MATCH(B223,escolas[Column1.nome],0)),"—"))</f>
        <v/>
      </c>
      <c r="F223">
        <f>IF(B223="","",SUMPRODUCT(MAX((RIGHT(B223,LEN(enderecos_escolas[cidade])+1)=" "&amp;enderecos_escolas[cidade])*LEN(enderecos_escolas[cidade]))))</f>
        <v/>
      </c>
      <c r="G223">
        <f>IF(B223="","",IFERROR(INDEX(enderecos_escolas[estado],MATCH(1,INDEX((RIGHT(B223,LEN(enderecos_escolas[cidade])+1)=" "&amp;enderecos_escolas[cidade])*(LEN(enderecos_escolas[cidade])=F223),0),0)),"—"))</f>
        <v/>
      </c>
      <c r="H223">
        <f>IF(B223="","",IFERROR(VLOOKUP(G223,'Parâmetros'!$A$5:$B$31,2,FALSE),"Não localizada"))</f>
        <v/>
      </c>
      <c r="I223">
        <f>IF(B223="","",IFERROR(INDEX(enderecos_escolas[tipoLocalizacao],MATCH(1,INDEX((RIGHT(B223,LEN(enderecos_escolas[cidade])+1)=" "&amp;enderecos_escolas[cidade])*(LEN(enderecos_escolas[cidade])=F223),0),0)),"—"))</f>
        <v/>
      </c>
      <c r="K223">
        <f>IF(C223="","",IF(AND(OR('Ranking Escolas'!$F$4="Todas",H223='Ranking Escolas'!$F$4),OR('Ranking Escolas'!$I$4="Todos",E223='Ranking Escolas'!$I$4)),C223+(1000-A223)/10000000,""))</f>
        <v/>
      </c>
      <c r="M223" t="n">
        <v>222</v>
      </c>
      <c r="N223">
        <f>IF(M223&gt;ROWS(avaliacoes_cursos[curso]),"",INDEX(avaliacoes_cursos[curso],M223))</f>
        <v/>
      </c>
      <c r="O223">
        <f>IF(N223="","",INDEX(avaliacoes_cursos[escola],M223))</f>
        <v/>
      </c>
      <c r="P223">
        <f>IF(N223="","",INDEX(avaliacoes_cursos[Nota média],M223))</f>
        <v/>
      </c>
      <c r="Q223">
        <f>IF(N223="","",IF(COUNTIF(avaliacoes_cursos[curso],N223)&gt;1,N223&amp;" — "&amp;O223,N223))</f>
        <v/>
      </c>
      <c r="R223">
        <f>IF(P223="","",P223+(1000-M223)/10000000)</f>
        <v/>
      </c>
    </row>
    <row r="224">
      <c r="A224" t="n">
        <v>223</v>
      </c>
      <c r="B224">
        <f>IF(A224&gt;ROWS(avaliacoes_qualidade[escola]),"",INDEX(avaliacoes_qualidade[escola],A224))</f>
        <v/>
      </c>
      <c r="C224">
        <f>IF(B224="","",INDEX(avaliacoes_qualidade[Nota média],A224))</f>
        <v/>
      </c>
      <c r="D224">
        <f>IF(B224="","",INDEX(avaliacoes_qualidade[Avaliações],A224))</f>
        <v/>
      </c>
      <c r="E224">
        <f>IF(B224="","",IFERROR(INDEX(escolas[Column1.tipo],MATCH(B224,escolas[Column1.nome],0)),"—"))</f>
        <v/>
      </c>
      <c r="F224">
        <f>IF(B224="","",SUMPRODUCT(MAX((RIGHT(B224,LEN(enderecos_escolas[cidade])+1)=" "&amp;enderecos_escolas[cidade])*LEN(enderecos_escolas[cidade]))))</f>
        <v/>
      </c>
      <c r="G224">
        <f>IF(B224="","",IFERROR(INDEX(enderecos_escolas[estado],MATCH(1,INDEX((RIGHT(B224,LEN(enderecos_escolas[cidade])+1)=" "&amp;enderecos_escolas[cidade])*(LEN(enderecos_escolas[cidade])=F224),0),0)),"—"))</f>
        <v/>
      </c>
      <c r="H224">
        <f>IF(B224="","",IFERROR(VLOOKUP(G224,'Parâmetros'!$A$5:$B$31,2,FALSE),"Não localizada"))</f>
        <v/>
      </c>
      <c r="I224">
        <f>IF(B224="","",IFERROR(INDEX(enderecos_escolas[tipoLocalizacao],MATCH(1,INDEX((RIGHT(B224,LEN(enderecos_escolas[cidade])+1)=" "&amp;enderecos_escolas[cidade])*(LEN(enderecos_escolas[cidade])=F224),0),0)),"—"))</f>
        <v/>
      </c>
      <c r="K224">
        <f>IF(C224="","",IF(AND(OR('Ranking Escolas'!$F$4="Todas",H224='Ranking Escolas'!$F$4),OR('Ranking Escolas'!$I$4="Todos",E224='Ranking Escolas'!$I$4)),C224+(1000-A224)/10000000,""))</f>
        <v/>
      </c>
      <c r="M224" t="n">
        <v>223</v>
      </c>
      <c r="N224">
        <f>IF(M224&gt;ROWS(avaliacoes_cursos[curso]),"",INDEX(avaliacoes_cursos[curso],M224))</f>
        <v/>
      </c>
      <c r="O224">
        <f>IF(N224="","",INDEX(avaliacoes_cursos[escola],M224))</f>
        <v/>
      </c>
      <c r="P224">
        <f>IF(N224="","",INDEX(avaliacoes_cursos[Nota média],M224))</f>
        <v/>
      </c>
      <c r="Q224">
        <f>IF(N224="","",IF(COUNTIF(avaliacoes_cursos[curso],N224)&gt;1,N224&amp;" — "&amp;O224,N224))</f>
        <v/>
      </c>
      <c r="R224">
        <f>IF(P224="","",P224+(1000-M224)/10000000)</f>
        <v/>
      </c>
    </row>
    <row r="225">
      <c r="A225" t="n">
        <v>224</v>
      </c>
      <c r="B225">
        <f>IF(A225&gt;ROWS(avaliacoes_qualidade[escola]),"",INDEX(avaliacoes_qualidade[escola],A225))</f>
        <v/>
      </c>
      <c r="C225">
        <f>IF(B225="","",INDEX(avaliacoes_qualidade[Nota média],A225))</f>
        <v/>
      </c>
      <c r="D225">
        <f>IF(B225="","",INDEX(avaliacoes_qualidade[Avaliações],A225))</f>
        <v/>
      </c>
      <c r="E225">
        <f>IF(B225="","",IFERROR(INDEX(escolas[Column1.tipo],MATCH(B225,escolas[Column1.nome],0)),"—"))</f>
        <v/>
      </c>
      <c r="F225">
        <f>IF(B225="","",SUMPRODUCT(MAX((RIGHT(B225,LEN(enderecos_escolas[cidade])+1)=" "&amp;enderecos_escolas[cidade])*LEN(enderecos_escolas[cidade]))))</f>
        <v/>
      </c>
      <c r="G225">
        <f>IF(B225="","",IFERROR(INDEX(enderecos_escolas[estado],MATCH(1,INDEX((RIGHT(B225,LEN(enderecos_escolas[cidade])+1)=" "&amp;enderecos_escolas[cidade])*(LEN(enderecos_escolas[cidade])=F225),0),0)),"—"))</f>
        <v/>
      </c>
      <c r="H225">
        <f>IF(B225="","",IFERROR(VLOOKUP(G225,'Parâmetros'!$A$5:$B$31,2,FALSE),"Não localizada"))</f>
        <v/>
      </c>
      <c r="I225">
        <f>IF(B225="","",IFERROR(INDEX(enderecos_escolas[tipoLocalizacao],MATCH(1,INDEX((RIGHT(B225,LEN(enderecos_escolas[cidade])+1)=" "&amp;enderecos_escolas[cidade])*(LEN(enderecos_escolas[cidade])=F225),0),0)),"—"))</f>
        <v/>
      </c>
      <c r="K225">
        <f>IF(C225="","",IF(AND(OR('Ranking Escolas'!$F$4="Todas",H225='Ranking Escolas'!$F$4),OR('Ranking Escolas'!$I$4="Todos",E225='Ranking Escolas'!$I$4)),C225+(1000-A225)/10000000,""))</f>
        <v/>
      </c>
      <c r="M225" t="n">
        <v>224</v>
      </c>
      <c r="N225">
        <f>IF(M225&gt;ROWS(avaliacoes_cursos[curso]),"",INDEX(avaliacoes_cursos[curso],M225))</f>
        <v/>
      </c>
      <c r="O225">
        <f>IF(N225="","",INDEX(avaliacoes_cursos[escola],M225))</f>
        <v/>
      </c>
      <c r="P225">
        <f>IF(N225="","",INDEX(avaliacoes_cursos[Nota média],M225))</f>
        <v/>
      </c>
      <c r="Q225">
        <f>IF(N225="","",IF(COUNTIF(avaliacoes_cursos[curso],N225)&gt;1,N225&amp;" — "&amp;O225,N225))</f>
        <v/>
      </c>
      <c r="R225">
        <f>IF(P225="","",P225+(1000-M225)/10000000)</f>
        <v/>
      </c>
    </row>
    <row r="226">
      <c r="A226" t="n">
        <v>225</v>
      </c>
      <c r="B226">
        <f>IF(A226&gt;ROWS(avaliacoes_qualidade[escola]),"",INDEX(avaliacoes_qualidade[escola],A226))</f>
        <v/>
      </c>
      <c r="C226">
        <f>IF(B226="","",INDEX(avaliacoes_qualidade[Nota média],A226))</f>
        <v/>
      </c>
      <c r="D226">
        <f>IF(B226="","",INDEX(avaliacoes_qualidade[Avaliações],A226))</f>
        <v/>
      </c>
      <c r="E226">
        <f>IF(B226="","",IFERROR(INDEX(escolas[Column1.tipo],MATCH(B226,escolas[Column1.nome],0)),"—"))</f>
        <v/>
      </c>
      <c r="F226">
        <f>IF(B226="","",SUMPRODUCT(MAX((RIGHT(B226,LEN(enderecos_escolas[cidade])+1)=" "&amp;enderecos_escolas[cidade])*LEN(enderecos_escolas[cidade]))))</f>
        <v/>
      </c>
      <c r="G226">
        <f>IF(B226="","",IFERROR(INDEX(enderecos_escolas[estado],MATCH(1,INDEX((RIGHT(B226,LEN(enderecos_escolas[cidade])+1)=" "&amp;enderecos_escolas[cidade])*(LEN(enderecos_escolas[cidade])=F226),0),0)),"—"))</f>
        <v/>
      </c>
      <c r="H226">
        <f>IF(B226="","",IFERROR(VLOOKUP(G226,'Parâmetros'!$A$5:$B$31,2,FALSE),"Não localizada"))</f>
        <v/>
      </c>
      <c r="I226">
        <f>IF(B226="","",IFERROR(INDEX(enderecos_escolas[tipoLocalizacao],MATCH(1,INDEX((RIGHT(B226,LEN(enderecos_escolas[cidade])+1)=" "&amp;enderecos_escolas[cidade])*(LEN(enderecos_escolas[cidade])=F226),0),0)),"—"))</f>
        <v/>
      </c>
      <c r="K226">
        <f>IF(C226="","",IF(AND(OR('Ranking Escolas'!$F$4="Todas",H226='Ranking Escolas'!$F$4),OR('Ranking Escolas'!$I$4="Todos",E226='Ranking Escolas'!$I$4)),C226+(1000-A226)/10000000,""))</f>
        <v/>
      </c>
      <c r="M226" t="n">
        <v>225</v>
      </c>
      <c r="N226">
        <f>IF(M226&gt;ROWS(avaliacoes_cursos[curso]),"",INDEX(avaliacoes_cursos[curso],M226))</f>
        <v/>
      </c>
      <c r="O226">
        <f>IF(N226="","",INDEX(avaliacoes_cursos[escola],M226))</f>
        <v/>
      </c>
      <c r="P226">
        <f>IF(N226="","",INDEX(avaliacoes_cursos[Nota média],M226))</f>
        <v/>
      </c>
      <c r="Q226">
        <f>IF(N226="","",IF(COUNTIF(avaliacoes_cursos[curso],N226)&gt;1,N226&amp;" — "&amp;O226,N226))</f>
        <v/>
      </c>
      <c r="R226">
        <f>IF(P226="","",P226+(1000-M226)/10000000)</f>
        <v/>
      </c>
    </row>
    <row r="227">
      <c r="A227" t="n">
        <v>226</v>
      </c>
      <c r="B227">
        <f>IF(A227&gt;ROWS(avaliacoes_qualidade[escola]),"",INDEX(avaliacoes_qualidade[escola],A227))</f>
        <v/>
      </c>
      <c r="C227">
        <f>IF(B227="","",INDEX(avaliacoes_qualidade[Nota média],A227))</f>
        <v/>
      </c>
      <c r="D227">
        <f>IF(B227="","",INDEX(avaliacoes_qualidade[Avaliações],A227))</f>
        <v/>
      </c>
      <c r="E227">
        <f>IF(B227="","",IFERROR(INDEX(escolas[Column1.tipo],MATCH(B227,escolas[Column1.nome],0)),"—"))</f>
        <v/>
      </c>
      <c r="F227">
        <f>IF(B227="","",SUMPRODUCT(MAX((RIGHT(B227,LEN(enderecos_escolas[cidade])+1)=" "&amp;enderecos_escolas[cidade])*LEN(enderecos_escolas[cidade]))))</f>
        <v/>
      </c>
      <c r="G227">
        <f>IF(B227="","",IFERROR(INDEX(enderecos_escolas[estado],MATCH(1,INDEX((RIGHT(B227,LEN(enderecos_escolas[cidade])+1)=" "&amp;enderecos_escolas[cidade])*(LEN(enderecos_escolas[cidade])=F227),0),0)),"—"))</f>
        <v/>
      </c>
      <c r="H227">
        <f>IF(B227="","",IFERROR(VLOOKUP(G227,'Parâmetros'!$A$5:$B$31,2,FALSE),"Não localizada"))</f>
        <v/>
      </c>
      <c r="I227">
        <f>IF(B227="","",IFERROR(INDEX(enderecos_escolas[tipoLocalizacao],MATCH(1,INDEX((RIGHT(B227,LEN(enderecos_escolas[cidade])+1)=" "&amp;enderecos_escolas[cidade])*(LEN(enderecos_escolas[cidade])=F227),0),0)),"—"))</f>
        <v/>
      </c>
      <c r="K227">
        <f>IF(C227="","",IF(AND(OR('Ranking Escolas'!$F$4="Todas",H227='Ranking Escolas'!$F$4),OR('Ranking Escolas'!$I$4="Todos",E227='Ranking Escolas'!$I$4)),C227+(1000-A227)/10000000,""))</f>
        <v/>
      </c>
      <c r="M227" t="n">
        <v>226</v>
      </c>
      <c r="N227">
        <f>IF(M227&gt;ROWS(avaliacoes_cursos[curso]),"",INDEX(avaliacoes_cursos[curso],M227))</f>
        <v/>
      </c>
      <c r="O227">
        <f>IF(N227="","",INDEX(avaliacoes_cursos[escola],M227))</f>
        <v/>
      </c>
      <c r="P227">
        <f>IF(N227="","",INDEX(avaliacoes_cursos[Nota média],M227))</f>
        <v/>
      </c>
      <c r="Q227">
        <f>IF(N227="","",IF(COUNTIF(avaliacoes_cursos[curso],N227)&gt;1,N227&amp;" — "&amp;O227,N227))</f>
        <v/>
      </c>
      <c r="R227">
        <f>IF(P227="","",P227+(1000-M227)/10000000)</f>
        <v/>
      </c>
    </row>
    <row r="228">
      <c r="A228" t="n">
        <v>227</v>
      </c>
      <c r="B228">
        <f>IF(A228&gt;ROWS(avaliacoes_qualidade[escola]),"",INDEX(avaliacoes_qualidade[escola],A228))</f>
        <v/>
      </c>
      <c r="C228">
        <f>IF(B228="","",INDEX(avaliacoes_qualidade[Nota média],A228))</f>
        <v/>
      </c>
      <c r="D228">
        <f>IF(B228="","",INDEX(avaliacoes_qualidade[Avaliações],A228))</f>
        <v/>
      </c>
      <c r="E228">
        <f>IF(B228="","",IFERROR(INDEX(escolas[Column1.tipo],MATCH(B228,escolas[Column1.nome],0)),"—"))</f>
        <v/>
      </c>
      <c r="F228">
        <f>IF(B228="","",SUMPRODUCT(MAX((RIGHT(B228,LEN(enderecos_escolas[cidade])+1)=" "&amp;enderecos_escolas[cidade])*LEN(enderecos_escolas[cidade]))))</f>
        <v/>
      </c>
      <c r="G228">
        <f>IF(B228="","",IFERROR(INDEX(enderecos_escolas[estado],MATCH(1,INDEX((RIGHT(B228,LEN(enderecos_escolas[cidade])+1)=" "&amp;enderecos_escolas[cidade])*(LEN(enderecos_escolas[cidade])=F228),0),0)),"—"))</f>
        <v/>
      </c>
      <c r="H228">
        <f>IF(B228="","",IFERROR(VLOOKUP(G228,'Parâmetros'!$A$5:$B$31,2,FALSE),"Não localizada"))</f>
        <v/>
      </c>
      <c r="I228">
        <f>IF(B228="","",IFERROR(INDEX(enderecos_escolas[tipoLocalizacao],MATCH(1,INDEX((RIGHT(B228,LEN(enderecos_escolas[cidade])+1)=" "&amp;enderecos_escolas[cidade])*(LEN(enderecos_escolas[cidade])=F228),0),0)),"—"))</f>
        <v/>
      </c>
      <c r="K228">
        <f>IF(C228="","",IF(AND(OR('Ranking Escolas'!$F$4="Todas",H228='Ranking Escolas'!$F$4),OR('Ranking Escolas'!$I$4="Todos",E228='Ranking Escolas'!$I$4)),C228+(1000-A228)/10000000,""))</f>
        <v/>
      </c>
      <c r="M228" t="n">
        <v>227</v>
      </c>
      <c r="N228">
        <f>IF(M228&gt;ROWS(avaliacoes_cursos[curso]),"",INDEX(avaliacoes_cursos[curso],M228))</f>
        <v/>
      </c>
      <c r="O228">
        <f>IF(N228="","",INDEX(avaliacoes_cursos[escola],M228))</f>
        <v/>
      </c>
      <c r="P228">
        <f>IF(N228="","",INDEX(avaliacoes_cursos[Nota média],M228))</f>
        <v/>
      </c>
      <c r="Q228">
        <f>IF(N228="","",IF(COUNTIF(avaliacoes_cursos[curso],N228)&gt;1,N228&amp;" — "&amp;O228,N228))</f>
        <v/>
      </c>
      <c r="R228">
        <f>IF(P228="","",P228+(1000-M228)/10000000)</f>
        <v/>
      </c>
    </row>
    <row r="229">
      <c r="A229" t="n">
        <v>228</v>
      </c>
      <c r="B229">
        <f>IF(A229&gt;ROWS(avaliacoes_qualidade[escola]),"",INDEX(avaliacoes_qualidade[escola],A229))</f>
        <v/>
      </c>
      <c r="C229">
        <f>IF(B229="","",INDEX(avaliacoes_qualidade[Nota média],A229))</f>
        <v/>
      </c>
      <c r="D229">
        <f>IF(B229="","",INDEX(avaliacoes_qualidade[Avaliações],A229))</f>
        <v/>
      </c>
      <c r="E229">
        <f>IF(B229="","",IFERROR(INDEX(escolas[Column1.tipo],MATCH(B229,escolas[Column1.nome],0)),"—"))</f>
        <v/>
      </c>
      <c r="F229">
        <f>IF(B229="","",SUMPRODUCT(MAX((RIGHT(B229,LEN(enderecos_escolas[cidade])+1)=" "&amp;enderecos_escolas[cidade])*LEN(enderecos_escolas[cidade]))))</f>
        <v/>
      </c>
      <c r="G229">
        <f>IF(B229="","",IFERROR(INDEX(enderecos_escolas[estado],MATCH(1,INDEX((RIGHT(B229,LEN(enderecos_escolas[cidade])+1)=" "&amp;enderecos_escolas[cidade])*(LEN(enderecos_escolas[cidade])=F229),0),0)),"—"))</f>
        <v/>
      </c>
      <c r="H229">
        <f>IF(B229="","",IFERROR(VLOOKUP(G229,'Parâmetros'!$A$5:$B$31,2,FALSE),"Não localizada"))</f>
        <v/>
      </c>
      <c r="I229">
        <f>IF(B229="","",IFERROR(INDEX(enderecos_escolas[tipoLocalizacao],MATCH(1,INDEX((RIGHT(B229,LEN(enderecos_escolas[cidade])+1)=" "&amp;enderecos_escolas[cidade])*(LEN(enderecos_escolas[cidade])=F229),0),0)),"—"))</f>
        <v/>
      </c>
      <c r="K229">
        <f>IF(C229="","",IF(AND(OR('Ranking Escolas'!$F$4="Todas",H229='Ranking Escolas'!$F$4),OR('Ranking Escolas'!$I$4="Todos",E229='Ranking Escolas'!$I$4)),C229+(1000-A229)/10000000,""))</f>
        <v/>
      </c>
      <c r="M229" t="n">
        <v>228</v>
      </c>
      <c r="N229">
        <f>IF(M229&gt;ROWS(avaliacoes_cursos[curso]),"",INDEX(avaliacoes_cursos[curso],M229))</f>
        <v/>
      </c>
      <c r="O229">
        <f>IF(N229="","",INDEX(avaliacoes_cursos[escola],M229))</f>
        <v/>
      </c>
      <c r="P229">
        <f>IF(N229="","",INDEX(avaliacoes_cursos[Nota média],M229))</f>
        <v/>
      </c>
      <c r="Q229">
        <f>IF(N229="","",IF(COUNTIF(avaliacoes_cursos[curso],N229)&gt;1,N229&amp;" — "&amp;O229,N229))</f>
        <v/>
      </c>
      <c r="R229">
        <f>IF(P229="","",P229+(1000-M229)/10000000)</f>
        <v/>
      </c>
    </row>
    <row r="230">
      <c r="A230" t="n">
        <v>229</v>
      </c>
      <c r="B230">
        <f>IF(A230&gt;ROWS(avaliacoes_qualidade[escola]),"",INDEX(avaliacoes_qualidade[escola],A230))</f>
        <v/>
      </c>
      <c r="C230">
        <f>IF(B230="","",INDEX(avaliacoes_qualidade[Nota média],A230))</f>
        <v/>
      </c>
      <c r="D230">
        <f>IF(B230="","",INDEX(avaliacoes_qualidade[Avaliações],A230))</f>
        <v/>
      </c>
      <c r="E230">
        <f>IF(B230="","",IFERROR(INDEX(escolas[Column1.tipo],MATCH(B230,escolas[Column1.nome],0)),"—"))</f>
        <v/>
      </c>
      <c r="F230">
        <f>IF(B230="","",SUMPRODUCT(MAX((RIGHT(B230,LEN(enderecos_escolas[cidade])+1)=" "&amp;enderecos_escolas[cidade])*LEN(enderecos_escolas[cidade]))))</f>
        <v/>
      </c>
      <c r="G230">
        <f>IF(B230="","",IFERROR(INDEX(enderecos_escolas[estado],MATCH(1,INDEX((RIGHT(B230,LEN(enderecos_escolas[cidade])+1)=" "&amp;enderecos_escolas[cidade])*(LEN(enderecos_escolas[cidade])=F230),0),0)),"—"))</f>
        <v/>
      </c>
      <c r="H230">
        <f>IF(B230="","",IFERROR(VLOOKUP(G230,'Parâmetros'!$A$5:$B$31,2,FALSE),"Não localizada"))</f>
        <v/>
      </c>
      <c r="I230">
        <f>IF(B230="","",IFERROR(INDEX(enderecos_escolas[tipoLocalizacao],MATCH(1,INDEX((RIGHT(B230,LEN(enderecos_escolas[cidade])+1)=" "&amp;enderecos_escolas[cidade])*(LEN(enderecos_escolas[cidade])=F230),0),0)),"—"))</f>
        <v/>
      </c>
      <c r="K230">
        <f>IF(C230="","",IF(AND(OR('Ranking Escolas'!$F$4="Todas",H230='Ranking Escolas'!$F$4),OR('Ranking Escolas'!$I$4="Todos",E230='Ranking Escolas'!$I$4)),C230+(1000-A230)/10000000,""))</f>
        <v/>
      </c>
      <c r="M230" t="n">
        <v>229</v>
      </c>
      <c r="N230">
        <f>IF(M230&gt;ROWS(avaliacoes_cursos[curso]),"",INDEX(avaliacoes_cursos[curso],M230))</f>
        <v/>
      </c>
      <c r="O230">
        <f>IF(N230="","",INDEX(avaliacoes_cursos[escola],M230))</f>
        <v/>
      </c>
      <c r="P230">
        <f>IF(N230="","",INDEX(avaliacoes_cursos[Nota média],M230))</f>
        <v/>
      </c>
      <c r="Q230">
        <f>IF(N230="","",IF(COUNTIF(avaliacoes_cursos[curso],N230)&gt;1,N230&amp;" — "&amp;O230,N230))</f>
        <v/>
      </c>
      <c r="R230">
        <f>IF(P230="","",P230+(1000-M230)/10000000)</f>
        <v/>
      </c>
    </row>
    <row r="231">
      <c r="A231" t="n">
        <v>230</v>
      </c>
      <c r="B231">
        <f>IF(A231&gt;ROWS(avaliacoes_qualidade[escola]),"",INDEX(avaliacoes_qualidade[escola],A231))</f>
        <v/>
      </c>
      <c r="C231">
        <f>IF(B231="","",INDEX(avaliacoes_qualidade[Nota média],A231))</f>
        <v/>
      </c>
      <c r="D231">
        <f>IF(B231="","",INDEX(avaliacoes_qualidade[Avaliações],A231))</f>
        <v/>
      </c>
      <c r="E231">
        <f>IF(B231="","",IFERROR(INDEX(escolas[Column1.tipo],MATCH(B231,escolas[Column1.nome],0)),"—"))</f>
        <v/>
      </c>
      <c r="F231">
        <f>IF(B231="","",SUMPRODUCT(MAX((RIGHT(B231,LEN(enderecos_escolas[cidade])+1)=" "&amp;enderecos_escolas[cidade])*LEN(enderecos_escolas[cidade]))))</f>
        <v/>
      </c>
      <c r="G231">
        <f>IF(B231="","",IFERROR(INDEX(enderecos_escolas[estado],MATCH(1,INDEX((RIGHT(B231,LEN(enderecos_escolas[cidade])+1)=" "&amp;enderecos_escolas[cidade])*(LEN(enderecos_escolas[cidade])=F231),0),0)),"—"))</f>
        <v/>
      </c>
      <c r="H231">
        <f>IF(B231="","",IFERROR(VLOOKUP(G231,'Parâmetros'!$A$5:$B$31,2,FALSE),"Não localizada"))</f>
        <v/>
      </c>
      <c r="I231">
        <f>IF(B231="","",IFERROR(INDEX(enderecos_escolas[tipoLocalizacao],MATCH(1,INDEX((RIGHT(B231,LEN(enderecos_escolas[cidade])+1)=" "&amp;enderecos_escolas[cidade])*(LEN(enderecos_escolas[cidade])=F231),0),0)),"—"))</f>
        <v/>
      </c>
      <c r="K231">
        <f>IF(C231="","",IF(AND(OR('Ranking Escolas'!$F$4="Todas",H231='Ranking Escolas'!$F$4),OR('Ranking Escolas'!$I$4="Todos",E231='Ranking Escolas'!$I$4)),C231+(1000-A231)/10000000,""))</f>
        <v/>
      </c>
      <c r="M231" t="n">
        <v>230</v>
      </c>
      <c r="N231">
        <f>IF(M231&gt;ROWS(avaliacoes_cursos[curso]),"",INDEX(avaliacoes_cursos[curso],M231))</f>
        <v/>
      </c>
      <c r="O231">
        <f>IF(N231="","",INDEX(avaliacoes_cursos[escola],M231))</f>
        <v/>
      </c>
      <c r="P231">
        <f>IF(N231="","",INDEX(avaliacoes_cursos[Nota média],M231))</f>
        <v/>
      </c>
      <c r="Q231">
        <f>IF(N231="","",IF(COUNTIF(avaliacoes_cursos[curso],N231)&gt;1,N231&amp;" — "&amp;O231,N231))</f>
        <v/>
      </c>
      <c r="R231">
        <f>IF(P231="","",P231+(1000-M231)/10000000)</f>
        <v/>
      </c>
    </row>
    <row r="232">
      <c r="A232" t="n">
        <v>231</v>
      </c>
      <c r="B232">
        <f>IF(A232&gt;ROWS(avaliacoes_qualidade[escola]),"",INDEX(avaliacoes_qualidade[escola],A232))</f>
        <v/>
      </c>
      <c r="C232">
        <f>IF(B232="","",INDEX(avaliacoes_qualidade[Nota média],A232))</f>
        <v/>
      </c>
      <c r="D232">
        <f>IF(B232="","",INDEX(avaliacoes_qualidade[Avaliações],A232))</f>
        <v/>
      </c>
      <c r="E232">
        <f>IF(B232="","",IFERROR(INDEX(escolas[Column1.tipo],MATCH(B232,escolas[Column1.nome],0)),"—"))</f>
        <v/>
      </c>
      <c r="F232">
        <f>IF(B232="","",SUMPRODUCT(MAX((RIGHT(B232,LEN(enderecos_escolas[cidade])+1)=" "&amp;enderecos_escolas[cidade])*LEN(enderecos_escolas[cidade]))))</f>
        <v/>
      </c>
      <c r="G232">
        <f>IF(B232="","",IFERROR(INDEX(enderecos_escolas[estado],MATCH(1,INDEX((RIGHT(B232,LEN(enderecos_escolas[cidade])+1)=" "&amp;enderecos_escolas[cidade])*(LEN(enderecos_escolas[cidade])=F232),0),0)),"—"))</f>
        <v/>
      </c>
      <c r="H232">
        <f>IF(B232="","",IFERROR(VLOOKUP(G232,'Parâmetros'!$A$5:$B$31,2,FALSE),"Não localizada"))</f>
        <v/>
      </c>
      <c r="I232">
        <f>IF(B232="","",IFERROR(INDEX(enderecos_escolas[tipoLocalizacao],MATCH(1,INDEX((RIGHT(B232,LEN(enderecos_escolas[cidade])+1)=" "&amp;enderecos_escolas[cidade])*(LEN(enderecos_escolas[cidade])=F232),0),0)),"—"))</f>
        <v/>
      </c>
      <c r="K232">
        <f>IF(C232="","",IF(AND(OR('Ranking Escolas'!$F$4="Todas",H232='Ranking Escolas'!$F$4),OR('Ranking Escolas'!$I$4="Todos",E232='Ranking Escolas'!$I$4)),C232+(1000-A232)/10000000,""))</f>
        <v/>
      </c>
      <c r="M232" t="n">
        <v>231</v>
      </c>
      <c r="N232">
        <f>IF(M232&gt;ROWS(avaliacoes_cursos[curso]),"",INDEX(avaliacoes_cursos[curso],M232))</f>
        <v/>
      </c>
      <c r="O232">
        <f>IF(N232="","",INDEX(avaliacoes_cursos[escola],M232))</f>
        <v/>
      </c>
      <c r="P232">
        <f>IF(N232="","",INDEX(avaliacoes_cursos[Nota média],M232))</f>
        <v/>
      </c>
      <c r="Q232">
        <f>IF(N232="","",IF(COUNTIF(avaliacoes_cursos[curso],N232)&gt;1,N232&amp;" — "&amp;O232,N232))</f>
        <v/>
      </c>
      <c r="R232">
        <f>IF(P232="","",P232+(1000-M232)/10000000)</f>
        <v/>
      </c>
    </row>
    <row r="233">
      <c r="A233" t="n">
        <v>232</v>
      </c>
      <c r="B233">
        <f>IF(A233&gt;ROWS(avaliacoes_qualidade[escola]),"",INDEX(avaliacoes_qualidade[escola],A233))</f>
        <v/>
      </c>
      <c r="C233">
        <f>IF(B233="","",INDEX(avaliacoes_qualidade[Nota média],A233))</f>
        <v/>
      </c>
      <c r="D233">
        <f>IF(B233="","",INDEX(avaliacoes_qualidade[Avaliações],A233))</f>
        <v/>
      </c>
      <c r="E233">
        <f>IF(B233="","",IFERROR(INDEX(escolas[Column1.tipo],MATCH(B233,escolas[Column1.nome],0)),"—"))</f>
        <v/>
      </c>
      <c r="F233">
        <f>IF(B233="","",SUMPRODUCT(MAX((RIGHT(B233,LEN(enderecos_escolas[cidade])+1)=" "&amp;enderecos_escolas[cidade])*LEN(enderecos_escolas[cidade]))))</f>
        <v/>
      </c>
      <c r="G233">
        <f>IF(B233="","",IFERROR(INDEX(enderecos_escolas[estado],MATCH(1,INDEX((RIGHT(B233,LEN(enderecos_escolas[cidade])+1)=" "&amp;enderecos_escolas[cidade])*(LEN(enderecos_escolas[cidade])=F233),0),0)),"—"))</f>
        <v/>
      </c>
      <c r="H233">
        <f>IF(B233="","",IFERROR(VLOOKUP(G233,'Parâmetros'!$A$5:$B$31,2,FALSE),"Não localizada"))</f>
        <v/>
      </c>
      <c r="I233">
        <f>IF(B233="","",IFERROR(INDEX(enderecos_escolas[tipoLocalizacao],MATCH(1,INDEX((RIGHT(B233,LEN(enderecos_escolas[cidade])+1)=" "&amp;enderecos_escolas[cidade])*(LEN(enderecos_escolas[cidade])=F233),0),0)),"—"))</f>
        <v/>
      </c>
      <c r="K233">
        <f>IF(C233="","",IF(AND(OR('Ranking Escolas'!$F$4="Todas",H233='Ranking Escolas'!$F$4),OR('Ranking Escolas'!$I$4="Todos",E233='Ranking Escolas'!$I$4)),C233+(1000-A233)/10000000,""))</f>
        <v/>
      </c>
      <c r="M233" t="n">
        <v>232</v>
      </c>
      <c r="N233">
        <f>IF(M233&gt;ROWS(avaliacoes_cursos[curso]),"",INDEX(avaliacoes_cursos[curso],M233))</f>
        <v/>
      </c>
      <c r="O233">
        <f>IF(N233="","",INDEX(avaliacoes_cursos[escola],M233))</f>
        <v/>
      </c>
      <c r="P233">
        <f>IF(N233="","",INDEX(avaliacoes_cursos[Nota média],M233))</f>
        <v/>
      </c>
      <c r="Q233">
        <f>IF(N233="","",IF(COUNTIF(avaliacoes_cursos[curso],N233)&gt;1,N233&amp;" — "&amp;O233,N233))</f>
        <v/>
      </c>
      <c r="R233">
        <f>IF(P233="","",P233+(1000-M233)/10000000)</f>
        <v/>
      </c>
    </row>
    <row r="234">
      <c r="A234" t="n">
        <v>233</v>
      </c>
      <c r="B234">
        <f>IF(A234&gt;ROWS(avaliacoes_qualidade[escola]),"",INDEX(avaliacoes_qualidade[escola],A234))</f>
        <v/>
      </c>
      <c r="C234">
        <f>IF(B234="","",INDEX(avaliacoes_qualidade[Nota média],A234))</f>
        <v/>
      </c>
      <c r="D234">
        <f>IF(B234="","",INDEX(avaliacoes_qualidade[Avaliações],A234))</f>
        <v/>
      </c>
      <c r="E234">
        <f>IF(B234="","",IFERROR(INDEX(escolas[Column1.tipo],MATCH(B234,escolas[Column1.nome],0)),"—"))</f>
        <v/>
      </c>
      <c r="F234">
        <f>IF(B234="","",SUMPRODUCT(MAX((RIGHT(B234,LEN(enderecos_escolas[cidade])+1)=" "&amp;enderecos_escolas[cidade])*LEN(enderecos_escolas[cidade]))))</f>
        <v/>
      </c>
      <c r="G234">
        <f>IF(B234="","",IFERROR(INDEX(enderecos_escolas[estado],MATCH(1,INDEX((RIGHT(B234,LEN(enderecos_escolas[cidade])+1)=" "&amp;enderecos_escolas[cidade])*(LEN(enderecos_escolas[cidade])=F234),0),0)),"—"))</f>
        <v/>
      </c>
      <c r="H234">
        <f>IF(B234="","",IFERROR(VLOOKUP(G234,'Parâmetros'!$A$5:$B$31,2,FALSE),"Não localizada"))</f>
        <v/>
      </c>
      <c r="I234">
        <f>IF(B234="","",IFERROR(INDEX(enderecos_escolas[tipoLocalizacao],MATCH(1,INDEX((RIGHT(B234,LEN(enderecos_escolas[cidade])+1)=" "&amp;enderecos_escolas[cidade])*(LEN(enderecos_escolas[cidade])=F234),0),0)),"—"))</f>
        <v/>
      </c>
      <c r="K234">
        <f>IF(C234="","",IF(AND(OR('Ranking Escolas'!$F$4="Todas",H234='Ranking Escolas'!$F$4),OR('Ranking Escolas'!$I$4="Todos",E234='Ranking Escolas'!$I$4)),C234+(1000-A234)/10000000,""))</f>
        <v/>
      </c>
      <c r="M234" t="n">
        <v>233</v>
      </c>
      <c r="N234">
        <f>IF(M234&gt;ROWS(avaliacoes_cursos[curso]),"",INDEX(avaliacoes_cursos[curso],M234))</f>
        <v/>
      </c>
      <c r="O234">
        <f>IF(N234="","",INDEX(avaliacoes_cursos[escola],M234))</f>
        <v/>
      </c>
      <c r="P234">
        <f>IF(N234="","",INDEX(avaliacoes_cursos[Nota média],M234))</f>
        <v/>
      </c>
      <c r="Q234">
        <f>IF(N234="","",IF(COUNTIF(avaliacoes_cursos[curso],N234)&gt;1,N234&amp;" — "&amp;O234,N234))</f>
        <v/>
      </c>
      <c r="R234">
        <f>IF(P234="","",P234+(1000-M234)/10000000)</f>
        <v/>
      </c>
    </row>
    <row r="235">
      <c r="A235" t="n">
        <v>234</v>
      </c>
      <c r="B235">
        <f>IF(A235&gt;ROWS(avaliacoes_qualidade[escola]),"",INDEX(avaliacoes_qualidade[escola],A235))</f>
        <v/>
      </c>
      <c r="C235">
        <f>IF(B235="","",INDEX(avaliacoes_qualidade[Nota média],A235))</f>
        <v/>
      </c>
      <c r="D235">
        <f>IF(B235="","",INDEX(avaliacoes_qualidade[Avaliações],A235))</f>
        <v/>
      </c>
      <c r="E235">
        <f>IF(B235="","",IFERROR(INDEX(escolas[Column1.tipo],MATCH(B235,escolas[Column1.nome],0)),"—"))</f>
        <v/>
      </c>
      <c r="F235">
        <f>IF(B235="","",SUMPRODUCT(MAX((RIGHT(B235,LEN(enderecos_escolas[cidade])+1)=" "&amp;enderecos_escolas[cidade])*LEN(enderecos_escolas[cidade]))))</f>
        <v/>
      </c>
      <c r="G235">
        <f>IF(B235="","",IFERROR(INDEX(enderecos_escolas[estado],MATCH(1,INDEX((RIGHT(B235,LEN(enderecos_escolas[cidade])+1)=" "&amp;enderecos_escolas[cidade])*(LEN(enderecos_escolas[cidade])=F235),0),0)),"—"))</f>
        <v/>
      </c>
      <c r="H235">
        <f>IF(B235="","",IFERROR(VLOOKUP(G235,'Parâmetros'!$A$5:$B$31,2,FALSE),"Não localizada"))</f>
        <v/>
      </c>
      <c r="I235">
        <f>IF(B235="","",IFERROR(INDEX(enderecos_escolas[tipoLocalizacao],MATCH(1,INDEX((RIGHT(B235,LEN(enderecos_escolas[cidade])+1)=" "&amp;enderecos_escolas[cidade])*(LEN(enderecos_escolas[cidade])=F235),0),0)),"—"))</f>
        <v/>
      </c>
      <c r="K235">
        <f>IF(C235="","",IF(AND(OR('Ranking Escolas'!$F$4="Todas",H235='Ranking Escolas'!$F$4),OR('Ranking Escolas'!$I$4="Todos",E235='Ranking Escolas'!$I$4)),C235+(1000-A235)/10000000,""))</f>
        <v/>
      </c>
      <c r="M235" t="n">
        <v>234</v>
      </c>
      <c r="N235">
        <f>IF(M235&gt;ROWS(avaliacoes_cursos[curso]),"",INDEX(avaliacoes_cursos[curso],M235))</f>
        <v/>
      </c>
      <c r="O235">
        <f>IF(N235="","",INDEX(avaliacoes_cursos[escola],M235))</f>
        <v/>
      </c>
      <c r="P235">
        <f>IF(N235="","",INDEX(avaliacoes_cursos[Nota média],M235))</f>
        <v/>
      </c>
      <c r="Q235">
        <f>IF(N235="","",IF(COUNTIF(avaliacoes_cursos[curso],N235)&gt;1,N235&amp;" — "&amp;O235,N235))</f>
        <v/>
      </c>
      <c r="R235">
        <f>IF(P235="","",P235+(1000-M235)/10000000)</f>
        <v/>
      </c>
    </row>
    <row r="236">
      <c r="A236" t="n">
        <v>235</v>
      </c>
      <c r="B236">
        <f>IF(A236&gt;ROWS(avaliacoes_qualidade[escola]),"",INDEX(avaliacoes_qualidade[escola],A236))</f>
        <v/>
      </c>
      <c r="C236">
        <f>IF(B236="","",INDEX(avaliacoes_qualidade[Nota média],A236))</f>
        <v/>
      </c>
      <c r="D236">
        <f>IF(B236="","",INDEX(avaliacoes_qualidade[Avaliações],A236))</f>
        <v/>
      </c>
      <c r="E236">
        <f>IF(B236="","",IFERROR(INDEX(escolas[Column1.tipo],MATCH(B236,escolas[Column1.nome],0)),"—"))</f>
        <v/>
      </c>
      <c r="F236">
        <f>IF(B236="","",SUMPRODUCT(MAX((RIGHT(B236,LEN(enderecos_escolas[cidade])+1)=" "&amp;enderecos_escolas[cidade])*LEN(enderecos_escolas[cidade]))))</f>
        <v/>
      </c>
      <c r="G236">
        <f>IF(B236="","",IFERROR(INDEX(enderecos_escolas[estado],MATCH(1,INDEX((RIGHT(B236,LEN(enderecos_escolas[cidade])+1)=" "&amp;enderecos_escolas[cidade])*(LEN(enderecos_escolas[cidade])=F236),0),0)),"—"))</f>
        <v/>
      </c>
      <c r="H236">
        <f>IF(B236="","",IFERROR(VLOOKUP(G236,'Parâmetros'!$A$5:$B$31,2,FALSE),"Não localizada"))</f>
        <v/>
      </c>
      <c r="I236">
        <f>IF(B236="","",IFERROR(INDEX(enderecos_escolas[tipoLocalizacao],MATCH(1,INDEX((RIGHT(B236,LEN(enderecos_escolas[cidade])+1)=" "&amp;enderecos_escolas[cidade])*(LEN(enderecos_escolas[cidade])=F236),0),0)),"—"))</f>
        <v/>
      </c>
      <c r="K236">
        <f>IF(C236="","",IF(AND(OR('Ranking Escolas'!$F$4="Todas",H236='Ranking Escolas'!$F$4),OR('Ranking Escolas'!$I$4="Todos",E236='Ranking Escolas'!$I$4)),C236+(1000-A236)/10000000,""))</f>
        <v/>
      </c>
      <c r="M236" t="n">
        <v>235</v>
      </c>
      <c r="N236">
        <f>IF(M236&gt;ROWS(avaliacoes_cursos[curso]),"",INDEX(avaliacoes_cursos[curso],M236))</f>
        <v/>
      </c>
      <c r="O236">
        <f>IF(N236="","",INDEX(avaliacoes_cursos[escola],M236))</f>
        <v/>
      </c>
      <c r="P236">
        <f>IF(N236="","",INDEX(avaliacoes_cursos[Nota média],M236))</f>
        <v/>
      </c>
      <c r="Q236">
        <f>IF(N236="","",IF(COUNTIF(avaliacoes_cursos[curso],N236)&gt;1,N236&amp;" — "&amp;O236,N236))</f>
        <v/>
      </c>
      <c r="R236">
        <f>IF(P236="","",P236+(1000-M236)/10000000)</f>
        <v/>
      </c>
    </row>
    <row r="237">
      <c r="A237" t="n">
        <v>236</v>
      </c>
      <c r="B237">
        <f>IF(A237&gt;ROWS(avaliacoes_qualidade[escola]),"",INDEX(avaliacoes_qualidade[escola],A237))</f>
        <v/>
      </c>
      <c r="C237">
        <f>IF(B237="","",INDEX(avaliacoes_qualidade[Nota média],A237))</f>
        <v/>
      </c>
      <c r="D237">
        <f>IF(B237="","",INDEX(avaliacoes_qualidade[Avaliações],A237))</f>
        <v/>
      </c>
      <c r="E237">
        <f>IF(B237="","",IFERROR(INDEX(escolas[Column1.tipo],MATCH(B237,escolas[Column1.nome],0)),"—"))</f>
        <v/>
      </c>
      <c r="F237">
        <f>IF(B237="","",SUMPRODUCT(MAX((RIGHT(B237,LEN(enderecos_escolas[cidade])+1)=" "&amp;enderecos_escolas[cidade])*LEN(enderecos_escolas[cidade]))))</f>
        <v/>
      </c>
      <c r="G237">
        <f>IF(B237="","",IFERROR(INDEX(enderecos_escolas[estado],MATCH(1,INDEX((RIGHT(B237,LEN(enderecos_escolas[cidade])+1)=" "&amp;enderecos_escolas[cidade])*(LEN(enderecos_escolas[cidade])=F237),0),0)),"—"))</f>
        <v/>
      </c>
      <c r="H237">
        <f>IF(B237="","",IFERROR(VLOOKUP(G237,'Parâmetros'!$A$5:$B$31,2,FALSE),"Não localizada"))</f>
        <v/>
      </c>
      <c r="I237">
        <f>IF(B237="","",IFERROR(INDEX(enderecos_escolas[tipoLocalizacao],MATCH(1,INDEX((RIGHT(B237,LEN(enderecos_escolas[cidade])+1)=" "&amp;enderecos_escolas[cidade])*(LEN(enderecos_escolas[cidade])=F237),0),0)),"—"))</f>
        <v/>
      </c>
      <c r="K237">
        <f>IF(C237="","",IF(AND(OR('Ranking Escolas'!$F$4="Todas",H237='Ranking Escolas'!$F$4),OR('Ranking Escolas'!$I$4="Todos",E237='Ranking Escolas'!$I$4)),C237+(1000-A237)/10000000,""))</f>
        <v/>
      </c>
      <c r="M237" t="n">
        <v>236</v>
      </c>
      <c r="N237">
        <f>IF(M237&gt;ROWS(avaliacoes_cursos[curso]),"",INDEX(avaliacoes_cursos[curso],M237))</f>
        <v/>
      </c>
      <c r="O237">
        <f>IF(N237="","",INDEX(avaliacoes_cursos[escola],M237))</f>
        <v/>
      </c>
      <c r="P237">
        <f>IF(N237="","",INDEX(avaliacoes_cursos[Nota média],M237))</f>
        <v/>
      </c>
      <c r="Q237">
        <f>IF(N237="","",IF(COUNTIF(avaliacoes_cursos[curso],N237)&gt;1,N237&amp;" — "&amp;O237,N237))</f>
        <v/>
      </c>
      <c r="R237">
        <f>IF(P237="","",P237+(1000-M237)/10000000)</f>
        <v/>
      </c>
    </row>
    <row r="238">
      <c r="A238" t="n">
        <v>237</v>
      </c>
      <c r="B238">
        <f>IF(A238&gt;ROWS(avaliacoes_qualidade[escola]),"",INDEX(avaliacoes_qualidade[escola],A238))</f>
        <v/>
      </c>
      <c r="C238">
        <f>IF(B238="","",INDEX(avaliacoes_qualidade[Nota média],A238))</f>
        <v/>
      </c>
      <c r="D238">
        <f>IF(B238="","",INDEX(avaliacoes_qualidade[Avaliações],A238))</f>
        <v/>
      </c>
      <c r="E238">
        <f>IF(B238="","",IFERROR(INDEX(escolas[Column1.tipo],MATCH(B238,escolas[Column1.nome],0)),"—"))</f>
        <v/>
      </c>
      <c r="F238">
        <f>IF(B238="","",SUMPRODUCT(MAX((RIGHT(B238,LEN(enderecos_escolas[cidade])+1)=" "&amp;enderecos_escolas[cidade])*LEN(enderecos_escolas[cidade]))))</f>
        <v/>
      </c>
      <c r="G238">
        <f>IF(B238="","",IFERROR(INDEX(enderecos_escolas[estado],MATCH(1,INDEX((RIGHT(B238,LEN(enderecos_escolas[cidade])+1)=" "&amp;enderecos_escolas[cidade])*(LEN(enderecos_escolas[cidade])=F238),0),0)),"—"))</f>
        <v/>
      </c>
      <c r="H238">
        <f>IF(B238="","",IFERROR(VLOOKUP(G238,'Parâmetros'!$A$5:$B$31,2,FALSE),"Não localizada"))</f>
        <v/>
      </c>
      <c r="I238">
        <f>IF(B238="","",IFERROR(INDEX(enderecos_escolas[tipoLocalizacao],MATCH(1,INDEX((RIGHT(B238,LEN(enderecos_escolas[cidade])+1)=" "&amp;enderecos_escolas[cidade])*(LEN(enderecos_escolas[cidade])=F238),0),0)),"—"))</f>
        <v/>
      </c>
      <c r="K238">
        <f>IF(C238="","",IF(AND(OR('Ranking Escolas'!$F$4="Todas",H238='Ranking Escolas'!$F$4),OR('Ranking Escolas'!$I$4="Todos",E238='Ranking Escolas'!$I$4)),C238+(1000-A238)/10000000,""))</f>
        <v/>
      </c>
      <c r="M238" t="n">
        <v>237</v>
      </c>
      <c r="N238">
        <f>IF(M238&gt;ROWS(avaliacoes_cursos[curso]),"",INDEX(avaliacoes_cursos[curso],M238))</f>
        <v/>
      </c>
      <c r="O238">
        <f>IF(N238="","",INDEX(avaliacoes_cursos[escola],M238))</f>
        <v/>
      </c>
      <c r="P238">
        <f>IF(N238="","",INDEX(avaliacoes_cursos[Nota média],M238))</f>
        <v/>
      </c>
      <c r="Q238">
        <f>IF(N238="","",IF(COUNTIF(avaliacoes_cursos[curso],N238)&gt;1,N238&amp;" — "&amp;O238,N238))</f>
        <v/>
      </c>
      <c r="R238">
        <f>IF(P238="","",P238+(1000-M238)/10000000)</f>
        <v/>
      </c>
    </row>
    <row r="239">
      <c r="A239" t="n">
        <v>238</v>
      </c>
      <c r="B239">
        <f>IF(A239&gt;ROWS(avaliacoes_qualidade[escola]),"",INDEX(avaliacoes_qualidade[escola],A239))</f>
        <v/>
      </c>
      <c r="C239">
        <f>IF(B239="","",INDEX(avaliacoes_qualidade[Nota média],A239))</f>
        <v/>
      </c>
      <c r="D239">
        <f>IF(B239="","",INDEX(avaliacoes_qualidade[Avaliações],A239))</f>
        <v/>
      </c>
      <c r="E239">
        <f>IF(B239="","",IFERROR(INDEX(escolas[Column1.tipo],MATCH(B239,escolas[Column1.nome],0)),"—"))</f>
        <v/>
      </c>
      <c r="F239">
        <f>IF(B239="","",SUMPRODUCT(MAX((RIGHT(B239,LEN(enderecos_escolas[cidade])+1)=" "&amp;enderecos_escolas[cidade])*LEN(enderecos_escolas[cidade]))))</f>
        <v/>
      </c>
      <c r="G239">
        <f>IF(B239="","",IFERROR(INDEX(enderecos_escolas[estado],MATCH(1,INDEX((RIGHT(B239,LEN(enderecos_escolas[cidade])+1)=" "&amp;enderecos_escolas[cidade])*(LEN(enderecos_escolas[cidade])=F239),0),0)),"—"))</f>
        <v/>
      </c>
      <c r="H239">
        <f>IF(B239="","",IFERROR(VLOOKUP(G239,'Parâmetros'!$A$5:$B$31,2,FALSE),"Não localizada"))</f>
        <v/>
      </c>
      <c r="I239">
        <f>IF(B239="","",IFERROR(INDEX(enderecos_escolas[tipoLocalizacao],MATCH(1,INDEX((RIGHT(B239,LEN(enderecos_escolas[cidade])+1)=" "&amp;enderecos_escolas[cidade])*(LEN(enderecos_escolas[cidade])=F239),0),0)),"—"))</f>
        <v/>
      </c>
      <c r="K239">
        <f>IF(C239="","",IF(AND(OR('Ranking Escolas'!$F$4="Todas",H239='Ranking Escolas'!$F$4),OR('Ranking Escolas'!$I$4="Todos",E239='Ranking Escolas'!$I$4)),C239+(1000-A239)/10000000,""))</f>
        <v/>
      </c>
      <c r="M239" t="n">
        <v>238</v>
      </c>
      <c r="N239">
        <f>IF(M239&gt;ROWS(avaliacoes_cursos[curso]),"",INDEX(avaliacoes_cursos[curso],M239))</f>
        <v/>
      </c>
      <c r="O239">
        <f>IF(N239="","",INDEX(avaliacoes_cursos[escola],M239))</f>
        <v/>
      </c>
      <c r="P239">
        <f>IF(N239="","",INDEX(avaliacoes_cursos[Nota média],M239))</f>
        <v/>
      </c>
      <c r="Q239">
        <f>IF(N239="","",IF(COUNTIF(avaliacoes_cursos[curso],N239)&gt;1,N239&amp;" — "&amp;O239,N239))</f>
        <v/>
      </c>
      <c r="R239">
        <f>IF(P239="","",P239+(1000-M239)/10000000)</f>
        <v/>
      </c>
    </row>
    <row r="240">
      <c r="A240" t="n">
        <v>239</v>
      </c>
      <c r="B240">
        <f>IF(A240&gt;ROWS(avaliacoes_qualidade[escola]),"",INDEX(avaliacoes_qualidade[escola],A240))</f>
        <v/>
      </c>
      <c r="C240">
        <f>IF(B240="","",INDEX(avaliacoes_qualidade[Nota média],A240))</f>
        <v/>
      </c>
      <c r="D240">
        <f>IF(B240="","",INDEX(avaliacoes_qualidade[Avaliações],A240))</f>
        <v/>
      </c>
      <c r="E240">
        <f>IF(B240="","",IFERROR(INDEX(escolas[Column1.tipo],MATCH(B240,escolas[Column1.nome],0)),"—"))</f>
        <v/>
      </c>
      <c r="F240">
        <f>IF(B240="","",SUMPRODUCT(MAX((RIGHT(B240,LEN(enderecos_escolas[cidade])+1)=" "&amp;enderecos_escolas[cidade])*LEN(enderecos_escolas[cidade]))))</f>
        <v/>
      </c>
      <c r="G240">
        <f>IF(B240="","",IFERROR(INDEX(enderecos_escolas[estado],MATCH(1,INDEX((RIGHT(B240,LEN(enderecos_escolas[cidade])+1)=" "&amp;enderecos_escolas[cidade])*(LEN(enderecos_escolas[cidade])=F240),0),0)),"—"))</f>
        <v/>
      </c>
      <c r="H240">
        <f>IF(B240="","",IFERROR(VLOOKUP(G240,'Parâmetros'!$A$5:$B$31,2,FALSE),"Não localizada"))</f>
        <v/>
      </c>
      <c r="I240">
        <f>IF(B240="","",IFERROR(INDEX(enderecos_escolas[tipoLocalizacao],MATCH(1,INDEX((RIGHT(B240,LEN(enderecos_escolas[cidade])+1)=" "&amp;enderecos_escolas[cidade])*(LEN(enderecos_escolas[cidade])=F240),0),0)),"—"))</f>
        <v/>
      </c>
      <c r="K240">
        <f>IF(C240="","",IF(AND(OR('Ranking Escolas'!$F$4="Todas",H240='Ranking Escolas'!$F$4),OR('Ranking Escolas'!$I$4="Todos",E240='Ranking Escolas'!$I$4)),C240+(1000-A240)/10000000,""))</f>
        <v/>
      </c>
      <c r="M240" t="n">
        <v>239</v>
      </c>
      <c r="N240">
        <f>IF(M240&gt;ROWS(avaliacoes_cursos[curso]),"",INDEX(avaliacoes_cursos[curso],M240))</f>
        <v/>
      </c>
      <c r="O240">
        <f>IF(N240="","",INDEX(avaliacoes_cursos[escola],M240))</f>
        <v/>
      </c>
      <c r="P240">
        <f>IF(N240="","",INDEX(avaliacoes_cursos[Nota média],M240))</f>
        <v/>
      </c>
      <c r="Q240">
        <f>IF(N240="","",IF(COUNTIF(avaliacoes_cursos[curso],N240)&gt;1,N240&amp;" — "&amp;O240,N240))</f>
        <v/>
      </c>
      <c r="R240">
        <f>IF(P240="","",P240+(1000-M240)/10000000)</f>
        <v/>
      </c>
    </row>
    <row r="241">
      <c r="A241" t="n">
        <v>240</v>
      </c>
      <c r="B241">
        <f>IF(A241&gt;ROWS(avaliacoes_qualidade[escola]),"",INDEX(avaliacoes_qualidade[escola],A241))</f>
        <v/>
      </c>
      <c r="C241">
        <f>IF(B241="","",INDEX(avaliacoes_qualidade[Nota média],A241))</f>
        <v/>
      </c>
      <c r="D241">
        <f>IF(B241="","",INDEX(avaliacoes_qualidade[Avaliações],A241))</f>
        <v/>
      </c>
      <c r="E241">
        <f>IF(B241="","",IFERROR(INDEX(escolas[Column1.tipo],MATCH(B241,escolas[Column1.nome],0)),"—"))</f>
        <v/>
      </c>
      <c r="F241">
        <f>IF(B241="","",SUMPRODUCT(MAX((RIGHT(B241,LEN(enderecos_escolas[cidade])+1)=" "&amp;enderecos_escolas[cidade])*LEN(enderecos_escolas[cidade]))))</f>
        <v/>
      </c>
      <c r="G241">
        <f>IF(B241="","",IFERROR(INDEX(enderecos_escolas[estado],MATCH(1,INDEX((RIGHT(B241,LEN(enderecos_escolas[cidade])+1)=" "&amp;enderecos_escolas[cidade])*(LEN(enderecos_escolas[cidade])=F241),0),0)),"—"))</f>
        <v/>
      </c>
      <c r="H241">
        <f>IF(B241="","",IFERROR(VLOOKUP(G241,'Parâmetros'!$A$5:$B$31,2,FALSE),"Não localizada"))</f>
        <v/>
      </c>
      <c r="I241">
        <f>IF(B241="","",IFERROR(INDEX(enderecos_escolas[tipoLocalizacao],MATCH(1,INDEX((RIGHT(B241,LEN(enderecos_escolas[cidade])+1)=" "&amp;enderecos_escolas[cidade])*(LEN(enderecos_escolas[cidade])=F241),0),0)),"—"))</f>
        <v/>
      </c>
      <c r="K241">
        <f>IF(C241="","",IF(AND(OR('Ranking Escolas'!$F$4="Todas",H241='Ranking Escolas'!$F$4),OR('Ranking Escolas'!$I$4="Todos",E241='Ranking Escolas'!$I$4)),C241+(1000-A241)/10000000,""))</f>
        <v/>
      </c>
      <c r="M241" t="n">
        <v>240</v>
      </c>
      <c r="N241">
        <f>IF(M241&gt;ROWS(avaliacoes_cursos[curso]),"",INDEX(avaliacoes_cursos[curso],M241))</f>
        <v/>
      </c>
      <c r="O241">
        <f>IF(N241="","",INDEX(avaliacoes_cursos[escola],M241))</f>
        <v/>
      </c>
      <c r="P241">
        <f>IF(N241="","",INDEX(avaliacoes_cursos[Nota média],M241))</f>
        <v/>
      </c>
      <c r="Q241">
        <f>IF(N241="","",IF(COUNTIF(avaliacoes_cursos[curso],N241)&gt;1,N241&amp;" — "&amp;O241,N241))</f>
        <v/>
      </c>
      <c r="R241">
        <f>IF(P241="","",P241+(1000-M241)/10000000)</f>
        <v/>
      </c>
    </row>
    <row r="242">
      <c r="A242" t="n">
        <v>241</v>
      </c>
      <c r="B242">
        <f>IF(A242&gt;ROWS(avaliacoes_qualidade[escola]),"",INDEX(avaliacoes_qualidade[escola],A242))</f>
        <v/>
      </c>
      <c r="C242">
        <f>IF(B242="","",INDEX(avaliacoes_qualidade[Nota média],A242))</f>
        <v/>
      </c>
      <c r="D242">
        <f>IF(B242="","",INDEX(avaliacoes_qualidade[Avaliações],A242))</f>
        <v/>
      </c>
      <c r="E242">
        <f>IF(B242="","",IFERROR(INDEX(escolas[Column1.tipo],MATCH(B242,escolas[Column1.nome],0)),"—"))</f>
        <v/>
      </c>
      <c r="F242">
        <f>IF(B242="","",SUMPRODUCT(MAX((RIGHT(B242,LEN(enderecos_escolas[cidade])+1)=" "&amp;enderecos_escolas[cidade])*LEN(enderecos_escolas[cidade]))))</f>
        <v/>
      </c>
      <c r="G242">
        <f>IF(B242="","",IFERROR(INDEX(enderecos_escolas[estado],MATCH(1,INDEX((RIGHT(B242,LEN(enderecos_escolas[cidade])+1)=" "&amp;enderecos_escolas[cidade])*(LEN(enderecos_escolas[cidade])=F242),0),0)),"—"))</f>
        <v/>
      </c>
      <c r="H242">
        <f>IF(B242="","",IFERROR(VLOOKUP(G242,'Parâmetros'!$A$5:$B$31,2,FALSE),"Não localizada"))</f>
        <v/>
      </c>
      <c r="I242">
        <f>IF(B242="","",IFERROR(INDEX(enderecos_escolas[tipoLocalizacao],MATCH(1,INDEX((RIGHT(B242,LEN(enderecos_escolas[cidade])+1)=" "&amp;enderecos_escolas[cidade])*(LEN(enderecos_escolas[cidade])=F242),0),0)),"—"))</f>
        <v/>
      </c>
      <c r="K242">
        <f>IF(C242="","",IF(AND(OR('Ranking Escolas'!$F$4="Todas",H242='Ranking Escolas'!$F$4),OR('Ranking Escolas'!$I$4="Todos",E242='Ranking Escolas'!$I$4)),C242+(1000-A242)/10000000,""))</f>
        <v/>
      </c>
      <c r="M242" t="n">
        <v>241</v>
      </c>
      <c r="N242">
        <f>IF(M242&gt;ROWS(avaliacoes_cursos[curso]),"",INDEX(avaliacoes_cursos[curso],M242))</f>
        <v/>
      </c>
      <c r="O242">
        <f>IF(N242="","",INDEX(avaliacoes_cursos[escola],M242))</f>
        <v/>
      </c>
      <c r="P242">
        <f>IF(N242="","",INDEX(avaliacoes_cursos[Nota média],M242))</f>
        <v/>
      </c>
      <c r="Q242">
        <f>IF(N242="","",IF(COUNTIF(avaliacoes_cursos[curso],N242)&gt;1,N242&amp;" — "&amp;O242,N242))</f>
        <v/>
      </c>
      <c r="R242">
        <f>IF(P242="","",P242+(1000-M242)/10000000)</f>
        <v/>
      </c>
    </row>
    <row r="243">
      <c r="A243" t="n">
        <v>242</v>
      </c>
      <c r="B243">
        <f>IF(A243&gt;ROWS(avaliacoes_qualidade[escola]),"",INDEX(avaliacoes_qualidade[escola],A243))</f>
        <v/>
      </c>
      <c r="C243">
        <f>IF(B243="","",INDEX(avaliacoes_qualidade[Nota média],A243))</f>
        <v/>
      </c>
      <c r="D243">
        <f>IF(B243="","",INDEX(avaliacoes_qualidade[Avaliações],A243))</f>
        <v/>
      </c>
      <c r="E243">
        <f>IF(B243="","",IFERROR(INDEX(escolas[Column1.tipo],MATCH(B243,escolas[Column1.nome],0)),"—"))</f>
        <v/>
      </c>
      <c r="F243">
        <f>IF(B243="","",SUMPRODUCT(MAX((RIGHT(B243,LEN(enderecos_escolas[cidade])+1)=" "&amp;enderecos_escolas[cidade])*LEN(enderecos_escolas[cidade]))))</f>
        <v/>
      </c>
      <c r="G243">
        <f>IF(B243="","",IFERROR(INDEX(enderecos_escolas[estado],MATCH(1,INDEX((RIGHT(B243,LEN(enderecos_escolas[cidade])+1)=" "&amp;enderecos_escolas[cidade])*(LEN(enderecos_escolas[cidade])=F243),0),0)),"—"))</f>
        <v/>
      </c>
      <c r="H243">
        <f>IF(B243="","",IFERROR(VLOOKUP(G243,'Parâmetros'!$A$5:$B$31,2,FALSE),"Não localizada"))</f>
        <v/>
      </c>
      <c r="I243">
        <f>IF(B243="","",IFERROR(INDEX(enderecos_escolas[tipoLocalizacao],MATCH(1,INDEX((RIGHT(B243,LEN(enderecos_escolas[cidade])+1)=" "&amp;enderecos_escolas[cidade])*(LEN(enderecos_escolas[cidade])=F243),0),0)),"—"))</f>
        <v/>
      </c>
      <c r="K243">
        <f>IF(C243="","",IF(AND(OR('Ranking Escolas'!$F$4="Todas",H243='Ranking Escolas'!$F$4),OR('Ranking Escolas'!$I$4="Todos",E243='Ranking Escolas'!$I$4)),C243+(1000-A243)/10000000,""))</f>
        <v/>
      </c>
      <c r="M243" t="n">
        <v>242</v>
      </c>
      <c r="N243">
        <f>IF(M243&gt;ROWS(avaliacoes_cursos[curso]),"",INDEX(avaliacoes_cursos[curso],M243))</f>
        <v/>
      </c>
      <c r="O243">
        <f>IF(N243="","",INDEX(avaliacoes_cursos[escola],M243))</f>
        <v/>
      </c>
      <c r="P243">
        <f>IF(N243="","",INDEX(avaliacoes_cursos[Nota média],M243))</f>
        <v/>
      </c>
      <c r="Q243">
        <f>IF(N243="","",IF(COUNTIF(avaliacoes_cursos[curso],N243)&gt;1,N243&amp;" — "&amp;O243,N243))</f>
        <v/>
      </c>
      <c r="R243">
        <f>IF(P243="","",P243+(1000-M243)/10000000)</f>
        <v/>
      </c>
    </row>
    <row r="244">
      <c r="A244" t="n">
        <v>243</v>
      </c>
      <c r="B244">
        <f>IF(A244&gt;ROWS(avaliacoes_qualidade[escola]),"",INDEX(avaliacoes_qualidade[escola],A244))</f>
        <v/>
      </c>
      <c r="C244">
        <f>IF(B244="","",INDEX(avaliacoes_qualidade[Nota média],A244))</f>
        <v/>
      </c>
      <c r="D244">
        <f>IF(B244="","",INDEX(avaliacoes_qualidade[Avaliações],A244))</f>
        <v/>
      </c>
      <c r="E244">
        <f>IF(B244="","",IFERROR(INDEX(escolas[Column1.tipo],MATCH(B244,escolas[Column1.nome],0)),"—"))</f>
        <v/>
      </c>
      <c r="F244">
        <f>IF(B244="","",SUMPRODUCT(MAX((RIGHT(B244,LEN(enderecos_escolas[cidade])+1)=" "&amp;enderecos_escolas[cidade])*LEN(enderecos_escolas[cidade]))))</f>
        <v/>
      </c>
      <c r="G244">
        <f>IF(B244="","",IFERROR(INDEX(enderecos_escolas[estado],MATCH(1,INDEX((RIGHT(B244,LEN(enderecos_escolas[cidade])+1)=" "&amp;enderecos_escolas[cidade])*(LEN(enderecos_escolas[cidade])=F244),0),0)),"—"))</f>
        <v/>
      </c>
      <c r="H244">
        <f>IF(B244="","",IFERROR(VLOOKUP(G244,'Parâmetros'!$A$5:$B$31,2,FALSE),"Não localizada"))</f>
        <v/>
      </c>
      <c r="I244">
        <f>IF(B244="","",IFERROR(INDEX(enderecos_escolas[tipoLocalizacao],MATCH(1,INDEX((RIGHT(B244,LEN(enderecos_escolas[cidade])+1)=" "&amp;enderecos_escolas[cidade])*(LEN(enderecos_escolas[cidade])=F244),0),0)),"—"))</f>
        <v/>
      </c>
      <c r="K244">
        <f>IF(C244="","",IF(AND(OR('Ranking Escolas'!$F$4="Todas",H244='Ranking Escolas'!$F$4),OR('Ranking Escolas'!$I$4="Todos",E244='Ranking Escolas'!$I$4)),C244+(1000-A244)/10000000,""))</f>
        <v/>
      </c>
      <c r="M244" t="n">
        <v>243</v>
      </c>
      <c r="N244">
        <f>IF(M244&gt;ROWS(avaliacoes_cursos[curso]),"",INDEX(avaliacoes_cursos[curso],M244))</f>
        <v/>
      </c>
      <c r="O244">
        <f>IF(N244="","",INDEX(avaliacoes_cursos[escola],M244))</f>
        <v/>
      </c>
      <c r="P244">
        <f>IF(N244="","",INDEX(avaliacoes_cursos[Nota média],M244))</f>
        <v/>
      </c>
      <c r="Q244">
        <f>IF(N244="","",IF(COUNTIF(avaliacoes_cursos[curso],N244)&gt;1,N244&amp;" — "&amp;O244,N244))</f>
        <v/>
      </c>
      <c r="R244">
        <f>IF(P244="","",P244+(1000-M244)/10000000)</f>
        <v/>
      </c>
    </row>
    <row r="245">
      <c r="A245" t="n">
        <v>244</v>
      </c>
      <c r="B245">
        <f>IF(A245&gt;ROWS(avaliacoes_qualidade[escola]),"",INDEX(avaliacoes_qualidade[escola],A245))</f>
        <v/>
      </c>
      <c r="C245">
        <f>IF(B245="","",INDEX(avaliacoes_qualidade[Nota média],A245))</f>
        <v/>
      </c>
      <c r="D245">
        <f>IF(B245="","",INDEX(avaliacoes_qualidade[Avaliações],A245))</f>
        <v/>
      </c>
      <c r="E245">
        <f>IF(B245="","",IFERROR(INDEX(escolas[Column1.tipo],MATCH(B245,escolas[Column1.nome],0)),"—"))</f>
        <v/>
      </c>
      <c r="F245">
        <f>IF(B245="","",SUMPRODUCT(MAX((RIGHT(B245,LEN(enderecos_escolas[cidade])+1)=" "&amp;enderecos_escolas[cidade])*LEN(enderecos_escolas[cidade]))))</f>
        <v/>
      </c>
      <c r="G245">
        <f>IF(B245="","",IFERROR(INDEX(enderecos_escolas[estado],MATCH(1,INDEX((RIGHT(B245,LEN(enderecos_escolas[cidade])+1)=" "&amp;enderecos_escolas[cidade])*(LEN(enderecos_escolas[cidade])=F245),0),0)),"—"))</f>
        <v/>
      </c>
      <c r="H245">
        <f>IF(B245="","",IFERROR(VLOOKUP(G245,'Parâmetros'!$A$5:$B$31,2,FALSE),"Não localizada"))</f>
        <v/>
      </c>
      <c r="I245">
        <f>IF(B245="","",IFERROR(INDEX(enderecos_escolas[tipoLocalizacao],MATCH(1,INDEX((RIGHT(B245,LEN(enderecos_escolas[cidade])+1)=" "&amp;enderecos_escolas[cidade])*(LEN(enderecos_escolas[cidade])=F245),0),0)),"—"))</f>
        <v/>
      </c>
      <c r="K245">
        <f>IF(C245="","",IF(AND(OR('Ranking Escolas'!$F$4="Todas",H245='Ranking Escolas'!$F$4),OR('Ranking Escolas'!$I$4="Todos",E245='Ranking Escolas'!$I$4)),C245+(1000-A245)/10000000,""))</f>
        <v/>
      </c>
      <c r="M245" t="n">
        <v>244</v>
      </c>
      <c r="N245">
        <f>IF(M245&gt;ROWS(avaliacoes_cursos[curso]),"",INDEX(avaliacoes_cursos[curso],M245))</f>
        <v/>
      </c>
      <c r="O245">
        <f>IF(N245="","",INDEX(avaliacoes_cursos[escola],M245))</f>
        <v/>
      </c>
      <c r="P245">
        <f>IF(N245="","",INDEX(avaliacoes_cursos[Nota média],M245))</f>
        <v/>
      </c>
      <c r="Q245">
        <f>IF(N245="","",IF(COUNTIF(avaliacoes_cursos[curso],N245)&gt;1,N245&amp;" — "&amp;O245,N245))</f>
        <v/>
      </c>
      <c r="R245">
        <f>IF(P245="","",P245+(1000-M245)/10000000)</f>
        <v/>
      </c>
    </row>
    <row r="246">
      <c r="A246" t="n">
        <v>245</v>
      </c>
      <c r="B246">
        <f>IF(A246&gt;ROWS(avaliacoes_qualidade[escola]),"",INDEX(avaliacoes_qualidade[escola],A246))</f>
        <v/>
      </c>
      <c r="C246">
        <f>IF(B246="","",INDEX(avaliacoes_qualidade[Nota média],A246))</f>
        <v/>
      </c>
      <c r="D246">
        <f>IF(B246="","",INDEX(avaliacoes_qualidade[Avaliações],A246))</f>
        <v/>
      </c>
      <c r="E246">
        <f>IF(B246="","",IFERROR(INDEX(escolas[Column1.tipo],MATCH(B246,escolas[Column1.nome],0)),"—"))</f>
        <v/>
      </c>
      <c r="F246">
        <f>IF(B246="","",SUMPRODUCT(MAX((RIGHT(B246,LEN(enderecos_escolas[cidade])+1)=" "&amp;enderecos_escolas[cidade])*LEN(enderecos_escolas[cidade]))))</f>
        <v/>
      </c>
      <c r="G246">
        <f>IF(B246="","",IFERROR(INDEX(enderecos_escolas[estado],MATCH(1,INDEX((RIGHT(B246,LEN(enderecos_escolas[cidade])+1)=" "&amp;enderecos_escolas[cidade])*(LEN(enderecos_escolas[cidade])=F246),0),0)),"—"))</f>
        <v/>
      </c>
      <c r="H246">
        <f>IF(B246="","",IFERROR(VLOOKUP(G246,'Parâmetros'!$A$5:$B$31,2,FALSE),"Não localizada"))</f>
        <v/>
      </c>
      <c r="I246">
        <f>IF(B246="","",IFERROR(INDEX(enderecos_escolas[tipoLocalizacao],MATCH(1,INDEX((RIGHT(B246,LEN(enderecos_escolas[cidade])+1)=" "&amp;enderecos_escolas[cidade])*(LEN(enderecos_escolas[cidade])=F246),0),0)),"—"))</f>
        <v/>
      </c>
      <c r="K246">
        <f>IF(C246="","",IF(AND(OR('Ranking Escolas'!$F$4="Todas",H246='Ranking Escolas'!$F$4),OR('Ranking Escolas'!$I$4="Todos",E246='Ranking Escolas'!$I$4)),C246+(1000-A246)/10000000,""))</f>
        <v/>
      </c>
      <c r="M246" t="n">
        <v>245</v>
      </c>
      <c r="N246">
        <f>IF(M246&gt;ROWS(avaliacoes_cursos[curso]),"",INDEX(avaliacoes_cursos[curso],M246))</f>
        <v/>
      </c>
      <c r="O246">
        <f>IF(N246="","",INDEX(avaliacoes_cursos[escola],M246))</f>
        <v/>
      </c>
      <c r="P246">
        <f>IF(N246="","",INDEX(avaliacoes_cursos[Nota média],M246))</f>
        <v/>
      </c>
      <c r="Q246">
        <f>IF(N246="","",IF(COUNTIF(avaliacoes_cursos[curso],N246)&gt;1,N246&amp;" — "&amp;O246,N246))</f>
        <v/>
      </c>
      <c r="R246">
        <f>IF(P246="","",P246+(1000-M246)/10000000)</f>
        <v/>
      </c>
    </row>
    <row r="247">
      <c r="A247" t="n">
        <v>246</v>
      </c>
      <c r="B247">
        <f>IF(A247&gt;ROWS(avaliacoes_qualidade[escola]),"",INDEX(avaliacoes_qualidade[escola],A247))</f>
        <v/>
      </c>
      <c r="C247">
        <f>IF(B247="","",INDEX(avaliacoes_qualidade[Nota média],A247))</f>
        <v/>
      </c>
      <c r="D247">
        <f>IF(B247="","",INDEX(avaliacoes_qualidade[Avaliações],A247))</f>
        <v/>
      </c>
      <c r="E247">
        <f>IF(B247="","",IFERROR(INDEX(escolas[Column1.tipo],MATCH(B247,escolas[Column1.nome],0)),"—"))</f>
        <v/>
      </c>
      <c r="F247">
        <f>IF(B247="","",SUMPRODUCT(MAX((RIGHT(B247,LEN(enderecos_escolas[cidade])+1)=" "&amp;enderecos_escolas[cidade])*LEN(enderecos_escolas[cidade]))))</f>
        <v/>
      </c>
      <c r="G247">
        <f>IF(B247="","",IFERROR(INDEX(enderecos_escolas[estado],MATCH(1,INDEX((RIGHT(B247,LEN(enderecos_escolas[cidade])+1)=" "&amp;enderecos_escolas[cidade])*(LEN(enderecos_escolas[cidade])=F247),0),0)),"—"))</f>
        <v/>
      </c>
      <c r="H247">
        <f>IF(B247="","",IFERROR(VLOOKUP(G247,'Parâmetros'!$A$5:$B$31,2,FALSE),"Não localizada"))</f>
        <v/>
      </c>
      <c r="I247">
        <f>IF(B247="","",IFERROR(INDEX(enderecos_escolas[tipoLocalizacao],MATCH(1,INDEX((RIGHT(B247,LEN(enderecos_escolas[cidade])+1)=" "&amp;enderecos_escolas[cidade])*(LEN(enderecos_escolas[cidade])=F247),0),0)),"—"))</f>
        <v/>
      </c>
      <c r="K247">
        <f>IF(C247="","",IF(AND(OR('Ranking Escolas'!$F$4="Todas",H247='Ranking Escolas'!$F$4),OR('Ranking Escolas'!$I$4="Todos",E247='Ranking Escolas'!$I$4)),C247+(1000-A247)/10000000,""))</f>
        <v/>
      </c>
      <c r="M247" t="n">
        <v>246</v>
      </c>
      <c r="N247">
        <f>IF(M247&gt;ROWS(avaliacoes_cursos[curso]),"",INDEX(avaliacoes_cursos[curso],M247))</f>
        <v/>
      </c>
      <c r="O247">
        <f>IF(N247="","",INDEX(avaliacoes_cursos[escola],M247))</f>
        <v/>
      </c>
      <c r="P247">
        <f>IF(N247="","",INDEX(avaliacoes_cursos[Nota média],M247))</f>
        <v/>
      </c>
      <c r="Q247">
        <f>IF(N247="","",IF(COUNTIF(avaliacoes_cursos[curso],N247)&gt;1,N247&amp;" — "&amp;O247,N247))</f>
        <v/>
      </c>
      <c r="R247">
        <f>IF(P247="","",P247+(1000-M247)/10000000)</f>
        <v/>
      </c>
    </row>
    <row r="248">
      <c r="A248" t="n">
        <v>247</v>
      </c>
      <c r="B248">
        <f>IF(A248&gt;ROWS(avaliacoes_qualidade[escola]),"",INDEX(avaliacoes_qualidade[escola],A248))</f>
        <v/>
      </c>
      <c r="C248">
        <f>IF(B248="","",INDEX(avaliacoes_qualidade[Nota média],A248))</f>
        <v/>
      </c>
      <c r="D248">
        <f>IF(B248="","",INDEX(avaliacoes_qualidade[Avaliações],A248))</f>
        <v/>
      </c>
      <c r="E248">
        <f>IF(B248="","",IFERROR(INDEX(escolas[Column1.tipo],MATCH(B248,escolas[Column1.nome],0)),"—"))</f>
        <v/>
      </c>
      <c r="F248">
        <f>IF(B248="","",SUMPRODUCT(MAX((RIGHT(B248,LEN(enderecos_escolas[cidade])+1)=" "&amp;enderecos_escolas[cidade])*LEN(enderecos_escolas[cidade]))))</f>
        <v/>
      </c>
      <c r="G248">
        <f>IF(B248="","",IFERROR(INDEX(enderecos_escolas[estado],MATCH(1,INDEX((RIGHT(B248,LEN(enderecos_escolas[cidade])+1)=" "&amp;enderecos_escolas[cidade])*(LEN(enderecos_escolas[cidade])=F248),0),0)),"—"))</f>
        <v/>
      </c>
      <c r="H248">
        <f>IF(B248="","",IFERROR(VLOOKUP(G248,'Parâmetros'!$A$5:$B$31,2,FALSE),"Não localizada"))</f>
        <v/>
      </c>
      <c r="I248">
        <f>IF(B248="","",IFERROR(INDEX(enderecos_escolas[tipoLocalizacao],MATCH(1,INDEX((RIGHT(B248,LEN(enderecos_escolas[cidade])+1)=" "&amp;enderecos_escolas[cidade])*(LEN(enderecos_escolas[cidade])=F248),0),0)),"—"))</f>
        <v/>
      </c>
      <c r="K248">
        <f>IF(C248="","",IF(AND(OR('Ranking Escolas'!$F$4="Todas",H248='Ranking Escolas'!$F$4),OR('Ranking Escolas'!$I$4="Todos",E248='Ranking Escolas'!$I$4)),C248+(1000-A248)/10000000,""))</f>
        <v/>
      </c>
      <c r="M248" t="n">
        <v>247</v>
      </c>
      <c r="N248">
        <f>IF(M248&gt;ROWS(avaliacoes_cursos[curso]),"",INDEX(avaliacoes_cursos[curso],M248))</f>
        <v/>
      </c>
      <c r="O248">
        <f>IF(N248="","",INDEX(avaliacoes_cursos[escola],M248))</f>
        <v/>
      </c>
      <c r="P248">
        <f>IF(N248="","",INDEX(avaliacoes_cursos[Nota média],M248))</f>
        <v/>
      </c>
      <c r="Q248">
        <f>IF(N248="","",IF(COUNTIF(avaliacoes_cursos[curso],N248)&gt;1,N248&amp;" — "&amp;O248,N248))</f>
        <v/>
      </c>
      <c r="R248">
        <f>IF(P248="","",P248+(1000-M248)/10000000)</f>
        <v/>
      </c>
    </row>
    <row r="249">
      <c r="A249" t="n">
        <v>248</v>
      </c>
      <c r="B249">
        <f>IF(A249&gt;ROWS(avaliacoes_qualidade[escola]),"",INDEX(avaliacoes_qualidade[escola],A249))</f>
        <v/>
      </c>
      <c r="C249">
        <f>IF(B249="","",INDEX(avaliacoes_qualidade[Nota média],A249))</f>
        <v/>
      </c>
      <c r="D249">
        <f>IF(B249="","",INDEX(avaliacoes_qualidade[Avaliações],A249))</f>
        <v/>
      </c>
      <c r="E249">
        <f>IF(B249="","",IFERROR(INDEX(escolas[Column1.tipo],MATCH(B249,escolas[Column1.nome],0)),"—"))</f>
        <v/>
      </c>
      <c r="F249">
        <f>IF(B249="","",SUMPRODUCT(MAX((RIGHT(B249,LEN(enderecos_escolas[cidade])+1)=" "&amp;enderecos_escolas[cidade])*LEN(enderecos_escolas[cidade]))))</f>
        <v/>
      </c>
      <c r="G249">
        <f>IF(B249="","",IFERROR(INDEX(enderecos_escolas[estado],MATCH(1,INDEX((RIGHT(B249,LEN(enderecos_escolas[cidade])+1)=" "&amp;enderecos_escolas[cidade])*(LEN(enderecos_escolas[cidade])=F249),0),0)),"—"))</f>
        <v/>
      </c>
      <c r="H249">
        <f>IF(B249="","",IFERROR(VLOOKUP(G249,'Parâmetros'!$A$5:$B$31,2,FALSE),"Não localizada"))</f>
        <v/>
      </c>
      <c r="I249">
        <f>IF(B249="","",IFERROR(INDEX(enderecos_escolas[tipoLocalizacao],MATCH(1,INDEX((RIGHT(B249,LEN(enderecos_escolas[cidade])+1)=" "&amp;enderecos_escolas[cidade])*(LEN(enderecos_escolas[cidade])=F249),0),0)),"—"))</f>
        <v/>
      </c>
      <c r="K249">
        <f>IF(C249="","",IF(AND(OR('Ranking Escolas'!$F$4="Todas",H249='Ranking Escolas'!$F$4),OR('Ranking Escolas'!$I$4="Todos",E249='Ranking Escolas'!$I$4)),C249+(1000-A249)/10000000,""))</f>
        <v/>
      </c>
      <c r="M249" t="n">
        <v>248</v>
      </c>
      <c r="N249">
        <f>IF(M249&gt;ROWS(avaliacoes_cursos[curso]),"",INDEX(avaliacoes_cursos[curso],M249))</f>
        <v/>
      </c>
      <c r="O249">
        <f>IF(N249="","",INDEX(avaliacoes_cursos[escola],M249))</f>
        <v/>
      </c>
      <c r="P249">
        <f>IF(N249="","",INDEX(avaliacoes_cursos[Nota média],M249))</f>
        <v/>
      </c>
      <c r="Q249">
        <f>IF(N249="","",IF(COUNTIF(avaliacoes_cursos[curso],N249)&gt;1,N249&amp;" — "&amp;O249,N249))</f>
        <v/>
      </c>
      <c r="R249">
        <f>IF(P249="","",P249+(1000-M249)/10000000)</f>
        <v/>
      </c>
    </row>
    <row r="250">
      <c r="A250" t="n">
        <v>249</v>
      </c>
      <c r="B250">
        <f>IF(A250&gt;ROWS(avaliacoes_qualidade[escola]),"",INDEX(avaliacoes_qualidade[escola],A250))</f>
        <v/>
      </c>
      <c r="C250">
        <f>IF(B250="","",INDEX(avaliacoes_qualidade[Nota média],A250))</f>
        <v/>
      </c>
      <c r="D250">
        <f>IF(B250="","",INDEX(avaliacoes_qualidade[Avaliações],A250))</f>
        <v/>
      </c>
      <c r="E250">
        <f>IF(B250="","",IFERROR(INDEX(escolas[Column1.tipo],MATCH(B250,escolas[Column1.nome],0)),"—"))</f>
        <v/>
      </c>
      <c r="F250">
        <f>IF(B250="","",SUMPRODUCT(MAX((RIGHT(B250,LEN(enderecos_escolas[cidade])+1)=" "&amp;enderecos_escolas[cidade])*LEN(enderecos_escolas[cidade]))))</f>
        <v/>
      </c>
      <c r="G250">
        <f>IF(B250="","",IFERROR(INDEX(enderecos_escolas[estado],MATCH(1,INDEX((RIGHT(B250,LEN(enderecos_escolas[cidade])+1)=" "&amp;enderecos_escolas[cidade])*(LEN(enderecos_escolas[cidade])=F250),0),0)),"—"))</f>
        <v/>
      </c>
      <c r="H250">
        <f>IF(B250="","",IFERROR(VLOOKUP(G250,'Parâmetros'!$A$5:$B$31,2,FALSE),"Não localizada"))</f>
        <v/>
      </c>
      <c r="I250">
        <f>IF(B250="","",IFERROR(INDEX(enderecos_escolas[tipoLocalizacao],MATCH(1,INDEX((RIGHT(B250,LEN(enderecos_escolas[cidade])+1)=" "&amp;enderecos_escolas[cidade])*(LEN(enderecos_escolas[cidade])=F250),0),0)),"—"))</f>
        <v/>
      </c>
      <c r="K250">
        <f>IF(C250="","",IF(AND(OR('Ranking Escolas'!$F$4="Todas",H250='Ranking Escolas'!$F$4),OR('Ranking Escolas'!$I$4="Todos",E250='Ranking Escolas'!$I$4)),C250+(1000-A250)/10000000,""))</f>
        <v/>
      </c>
      <c r="M250" t="n">
        <v>249</v>
      </c>
      <c r="N250">
        <f>IF(M250&gt;ROWS(avaliacoes_cursos[curso]),"",INDEX(avaliacoes_cursos[curso],M250))</f>
        <v/>
      </c>
      <c r="O250">
        <f>IF(N250="","",INDEX(avaliacoes_cursos[escola],M250))</f>
        <v/>
      </c>
      <c r="P250">
        <f>IF(N250="","",INDEX(avaliacoes_cursos[Nota média],M250))</f>
        <v/>
      </c>
      <c r="Q250">
        <f>IF(N250="","",IF(COUNTIF(avaliacoes_cursos[curso],N250)&gt;1,N250&amp;" — "&amp;O250,N250))</f>
        <v/>
      </c>
      <c r="R250">
        <f>IF(P250="","",P250+(1000-M250)/10000000)</f>
        <v/>
      </c>
    </row>
    <row r="251">
      <c r="A251" t="n">
        <v>250</v>
      </c>
      <c r="B251">
        <f>IF(A251&gt;ROWS(avaliacoes_qualidade[escola]),"",INDEX(avaliacoes_qualidade[escola],A251))</f>
        <v/>
      </c>
      <c r="C251">
        <f>IF(B251="","",INDEX(avaliacoes_qualidade[Nota média],A251))</f>
        <v/>
      </c>
      <c r="D251">
        <f>IF(B251="","",INDEX(avaliacoes_qualidade[Avaliações],A251))</f>
        <v/>
      </c>
      <c r="E251">
        <f>IF(B251="","",IFERROR(INDEX(escolas[Column1.tipo],MATCH(B251,escolas[Column1.nome],0)),"—"))</f>
        <v/>
      </c>
      <c r="F251">
        <f>IF(B251="","",SUMPRODUCT(MAX((RIGHT(B251,LEN(enderecos_escolas[cidade])+1)=" "&amp;enderecos_escolas[cidade])*LEN(enderecos_escolas[cidade]))))</f>
        <v/>
      </c>
      <c r="G251">
        <f>IF(B251="","",IFERROR(INDEX(enderecos_escolas[estado],MATCH(1,INDEX((RIGHT(B251,LEN(enderecos_escolas[cidade])+1)=" "&amp;enderecos_escolas[cidade])*(LEN(enderecos_escolas[cidade])=F251),0),0)),"—"))</f>
        <v/>
      </c>
      <c r="H251">
        <f>IF(B251="","",IFERROR(VLOOKUP(G251,'Parâmetros'!$A$5:$B$31,2,FALSE),"Não localizada"))</f>
        <v/>
      </c>
      <c r="I251">
        <f>IF(B251="","",IFERROR(INDEX(enderecos_escolas[tipoLocalizacao],MATCH(1,INDEX((RIGHT(B251,LEN(enderecos_escolas[cidade])+1)=" "&amp;enderecos_escolas[cidade])*(LEN(enderecos_escolas[cidade])=F251),0),0)),"—"))</f>
        <v/>
      </c>
      <c r="K251">
        <f>IF(C251="","",IF(AND(OR('Ranking Escolas'!$F$4="Todas",H251='Ranking Escolas'!$F$4),OR('Ranking Escolas'!$I$4="Todos",E251='Ranking Escolas'!$I$4)),C251+(1000-A251)/10000000,""))</f>
        <v/>
      </c>
      <c r="M251" t="n">
        <v>250</v>
      </c>
      <c r="N251">
        <f>IF(M251&gt;ROWS(avaliacoes_cursos[curso]),"",INDEX(avaliacoes_cursos[curso],M251))</f>
        <v/>
      </c>
      <c r="O251">
        <f>IF(N251="","",INDEX(avaliacoes_cursos[escola],M251))</f>
        <v/>
      </c>
      <c r="P251">
        <f>IF(N251="","",INDEX(avaliacoes_cursos[Nota média],M251))</f>
        <v/>
      </c>
      <c r="Q251">
        <f>IF(N251="","",IF(COUNTIF(avaliacoes_cursos[curso],N251)&gt;1,N251&amp;" — "&amp;O251,N251))</f>
        <v/>
      </c>
      <c r="R251">
        <f>IF(P251="","",P251+(1000-M251)/10000000)</f>
        <v/>
      </c>
    </row>
    <row r="252">
      <c r="A252" t="n">
        <v>251</v>
      </c>
      <c r="B252">
        <f>IF(A252&gt;ROWS(avaliacoes_qualidade[escola]),"",INDEX(avaliacoes_qualidade[escola],A252))</f>
        <v/>
      </c>
      <c r="C252">
        <f>IF(B252="","",INDEX(avaliacoes_qualidade[Nota média],A252))</f>
        <v/>
      </c>
      <c r="D252">
        <f>IF(B252="","",INDEX(avaliacoes_qualidade[Avaliações],A252))</f>
        <v/>
      </c>
      <c r="E252">
        <f>IF(B252="","",IFERROR(INDEX(escolas[Column1.tipo],MATCH(B252,escolas[Column1.nome],0)),"—"))</f>
        <v/>
      </c>
      <c r="F252">
        <f>IF(B252="","",SUMPRODUCT(MAX((RIGHT(B252,LEN(enderecos_escolas[cidade])+1)=" "&amp;enderecos_escolas[cidade])*LEN(enderecos_escolas[cidade]))))</f>
        <v/>
      </c>
      <c r="G252">
        <f>IF(B252="","",IFERROR(INDEX(enderecos_escolas[estado],MATCH(1,INDEX((RIGHT(B252,LEN(enderecos_escolas[cidade])+1)=" "&amp;enderecos_escolas[cidade])*(LEN(enderecos_escolas[cidade])=F252),0),0)),"—"))</f>
        <v/>
      </c>
      <c r="H252">
        <f>IF(B252="","",IFERROR(VLOOKUP(G252,'Parâmetros'!$A$5:$B$31,2,FALSE),"Não localizada"))</f>
        <v/>
      </c>
      <c r="I252">
        <f>IF(B252="","",IFERROR(INDEX(enderecos_escolas[tipoLocalizacao],MATCH(1,INDEX((RIGHT(B252,LEN(enderecos_escolas[cidade])+1)=" "&amp;enderecos_escolas[cidade])*(LEN(enderecos_escolas[cidade])=F252),0),0)),"—"))</f>
        <v/>
      </c>
      <c r="K252">
        <f>IF(C252="","",IF(AND(OR('Ranking Escolas'!$F$4="Todas",H252='Ranking Escolas'!$F$4),OR('Ranking Escolas'!$I$4="Todos",E252='Ranking Escolas'!$I$4)),C252+(1000-A252)/10000000,""))</f>
        <v/>
      </c>
      <c r="M252" t="n">
        <v>251</v>
      </c>
      <c r="N252">
        <f>IF(M252&gt;ROWS(avaliacoes_cursos[curso]),"",INDEX(avaliacoes_cursos[curso],M252))</f>
        <v/>
      </c>
      <c r="O252">
        <f>IF(N252="","",INDEX(avaliacoes_cursos[escola],M252))</f>
        <v/>
      </c>
      <c r="P252">
        <f>IF(N252="","",INDEX(avaliacoes_cursos[Nota média],M252))</f>
        <v/>
      </c>
      <c r="Q252">
        <f>IF(N252="","",IF(COUNTIF(avaliacoes_cursos[curso],N252)&gt;1,N252&amp;" — "&amp;O252,N252))</f>
        <v/>
      </c>
      <c r="R252">
        <f>IF(P252="","",P252+(1000-M252)/10000000)</f>
        <v/>
      </c>
    </row>
    <row r="253">
      <c r="A253" t="n">
        <v>252</v>
      </c>
      <c r="B253">
        <f>IF(A253&gt;ROWS(avaliacoes_qualidade[escola]),"",INDEX(avaliacoes_qualidade[escola],A253))</f>
        <v/>
      </c>
      <c r="C253">
        <f>IF(B253="","",INDEX(avaliacoes_qualidade[Nota média],A253))</f>
        <v/>
      </c>
      <c r="D253">
        <f>IF(B253="","",INDEX(avaliacoes_qualidade[Avaliações],A253))</f>
        <v/>
      </c>
      <c r="E253">
        <f>IF(B253="","",IFERROR(INDEX(escolas[Column1.tipo],MATCH(B253,escolas[Column1.nome],0)),"—"))</f>
        <v/>
      </c>
      <c r="F253">
        <f>IF(B253="","",SUMPRODUCT(MAX((RIGHT(B253,LEN(enderecos_escolas[cidade])+1)=" "&amp;enderecos_escolas[cidade])*LEN(enderecos_escolas[cidade]))))</f>
        <v/>
      </c>
      <c r="G253">
        <f>IF(B253="","",IFERROR(INDEX(enderecos_escolas[estado],MATCH(1,INDEX((RIGHT(B253,LEN(enderecos_escolas[cidade])+1)=" "&amp;enderecos_escolas[cidade])*(LEN(enderecos_escolas[cidade])=F253),0),0)),"—"))</f>
        <v/>
      </c>
      <c r="H253">
        <f>IF(B253="","",IFERROR(VLOOKUP(G253,'Parâmetros'!$A$5:$B$31,2,FALSE),"Não localizada"))</f>
        <v/>
      </c>
      <c r="I253">
        <f>IF(B253="","",IFERROR(INDEX(enderecos_escolas[tipoLocalizacao],MATCH(1,INDEX((RIGHT(B253,LEN(enderecos_escolas[cidade])+1)=" "&amp;enderecos_escolas[cidade])*(LEN(enderecos_escolas[cidade])=F253),0),0)),"—"))</f>
        <v/>
      </c>
      <c r="K253">
        <f>IF(C253="","",IF(AND(OR('Ranking Escolas'!$F$4="Todas",H253='Ranking Escolas'!$F$4),OR('Ranking Escolas'!$I$4="Todos",E253='Ranking Escolas'!$I$4)),C253+(1000-A253)/10000000,""))</f>
        <v/>
      </c>
      <c r="M253" t="n">
        <v>252</v>
      </c>
      <c r="N253">
        <f>IF(M253&gt;ROWS(avaliacoes_cursos[curso]),"",INDEX(avaliacoes_cursos[curso],M253))</f>
        <v/>
      </c>
      <c r="O253">
        <f>IF(N253="","",INDEX(avaliacoes_cursos[escola],M253))</f>
        <v/>
      </c>
      <c r="P253">
        <f>IF(N253="","",INDEX(avaliacoes_cursos[Nota média],M253))</f>
        <v/>
      </c>
      <c r="Q253">
        <f>IF(N253="","",IF(COUNTIF(avaliacoes_cursos[curso],N253)&gt;1,N253&amp;" — "&amp;O253,N253))</f>
        <v/>
      </c>
      <c r="R253">
        <f>IF(P253="","",P253+(1000-M253)/10000000)</f>
        <v/>
      </c>
    </row>
    <row r="254">
      <c r="A254" t="n">
        <v>253</v>
      </c>
      <c r="B254">
        <f>IF(A254&gt;ROWS(avaliacoes_qualidade[escola]),"",INDEX(avaliacoes_qualidade[escola],A254))</f>
        <v/>
      </c>
      <c r="C254">
        <f>IF(B254="","",INDEX(avaliacoes_qualidade[Nota média],A254))</f>
        <v/>
      </c>
      <c r="D254">
        <f>IF(B254="","",INDEX(avaliacoes_qualidade[Avaliações],A254))</f>
        <v/>
      </c>
      <c r="E254">
        <f>IF(B254="","",IFERROR(INDEX(escolas[Column1.tipo],MATCH(B254,escolas[Column1.nome],0)),"—"))</f>
        <v/>
      </c>
      <c r="F254">
        <f>IF(B254="","",SUMPRODUCT(MAX((RIGHT(B254,LEN(enderecos_escolas[cidade])+1)=" "&amp;enderecos_escolas[cidade])*LEN(enderecos_escolas[cidade]))))</f>
        <v/>
      </c>
      <c r="G254">
        <f>IF(B254="","",IFERROR(INDEX(enderecos_escolas[estado],MATCH(1,INDEX((RIGHT(B254,LEN(enderecos_escolas[cidade])+1)=" "&amp;enderecos_escolas[cidade])*(LEN(enderecos_escolas[cidade])=F254),0),0)),"—"))</f>
        <v/>
      </c>
      <c r="H254">
        <f>IF(B254="","",IFERROR(VLOOKUP(G254,'Parâmetros'!$A$5:$B$31,2,FALSE),"Não localizada"))</f>
        <v/>
      </c>
      <c r="I254">
        <f>IF(B254="","",IFERROR(INDEX(enderecos_escolas[tipoLocalizacao],MATCH(1,INDEX((RIGHT(B254,LEN(enderecos_escolas[cidade])+1)=" "&amp;enderecos_escolas[cidade])*(LEN(enderecos_escolas[cidade])=F254),0),0)),"—"))</f>
        <v/>
      </c>
      <c r="K254">
        <f>IF(C254="","",IF(AND(OR('Ranking Escolas'!$F$4="Todas",H254='Ranking Escolas'!$F$4),OR('Ranking Escolas'!$I$4="Todos",E254='Ranking Escolas'!$I$4)),C254+(1000-A254)/10000000,""))</f>
        <v/>
      </c>
      <c r="M254" t="n">
        <v>253</v>
      </c>
      <c r="N254">
        <f>IF(M254&gt;ROWS(avaliacoes_cursos[curso]),"",INDEX(avaliacoes_cursos[curso],M254))</f>
        <v/>
      </c>
      <c r="O254">
        <f>IF(N254="","",INDEX(avaliacoes_cursos[escola],M254))</f>
        <v/>
      </c>
      <c r="P254">
        <f>IF(N254="","",INDEX(avaliacoes_cursos[Nota média],M254))</f>
        <v/>
      </c>
      <c r="Q254">
        <f>IF(N254="","",IF(COUNTIF(avaliacoes_cursos[curso],N254)&gt;1,N254&amp;" — "&amp;O254,N254))</f>
        <v/>
      </c>
      <c r="R254">
        <f>IF(P254="","",P254+(1000-M254)/10000000)</f>
        <v/>
      </c>
    </row>
    <row r="255">
      <c r="A255" t="n">
        <v>254</v>
      </c>
      <c r="B255">
        <f>IF(A255&gt;ROWS(avaliacoes_qualidade[escola]),"",INDEX(avaliacoes_qualidade[escola],A255))</f>
        <v/>
      </c>
      <c r="C255">
        <f>IF(B255="","",INDEX(avaliacoes_qualidade[Nota média],A255))</f>
        <v/>
      </c>
      <c r="D255">
        <f>IF(B255="","",INDEX(avaliacoes_qualidade[Avaliações],A255))</f>
        <v/>
      </c>
      <c r="E255">
        <f>IF(B255="","",IFERROR(INDEX(escolas[Column1.tipo],MATCH(B255,escolas[Column1.nome],0)),"—"))</f>
        <v/>
      </c>
      <c r="F255">
        <f>IF(B255="","",SUMPRODUCT(MAX((RIGHT(B255,LEN(enderecos_escolas[cidade])+1)=" "&amp;enderecos_escolas[cidade])*LEN(enderecos_escolas[cidade]))))</f>
        <v/>
      </c>
      <c r="G255">
        <f>IF(B255="","",IFERROR(INDEX(enderecos_escolas[estado],MATCH(1,INDEX((RIGHT(B255,LEN(enderecos_escolas[cidade])+1)=" "&amp;enderecos_escolas[cidade])*(LEN(enderecos_escolas[cidade])=F255),0),0)),"—"))</f>
        <v/>
      </c>
      <c r="H255">
        <f>IF(B255="","",IFERROR(VLOOKUP(G255,'Parâmetros'!$A$5:$B$31,2,FALSE),"Não localizada"))</f>
        <v/>
      </c>
      <c r="I255">
        <f>IF(B255="","",IFERROR(INDEX(enderecos_escolas[tipoLocalizacao],MATCH(1,INDEX((RIGHT(B255,LEN(enderecos_escolas[cidade])+1)=" "&amp;enderecos_escolas[cidade])*(LEN(enderecos_escolas[cidade])=F255),0),0)),"—"))</f>
        <v/>
      </c>
      <c r="K255">
        <f>IF(C255="","",IF(AND(OR('Ranking Escolas'!$F$4="Todas",H255='Ranking Escolas'!$F$4),OR('Ranking Escolas'!$I$4="Todos",E255='Ranking Escolas'!$I$4)),C255+(1000-A255)/10000000,""))</f>
        <v/>
      </c>
      <c r="M255" t="n">
        <v>254</v>
      </c>
      <c r="N255">
        <f>IF(M255&gt;ROWS(avaliacoes_cursos[curso]),"",INDEX(avaliacoes_cursos[curso],M255))</f>
        <v/>
      </c>
      <c r="O255">
        <f>IF(N255="","",INDEX(avaliacoes_cursos[escola],M255))</f>
        <v/>
      </c>
      <c r="P255">
        <f>IF(N255="","",INDEX(avaliacoes_cursos[Nota média],M255))</f>
        <v/>
      </c>
      <c r="Q255">
        <f>IF(N255="","",IF(COUNTIF(avaliacoes_cursos[curso],N255)&gt;1,N255&amp;" — "&amp;O255,N255))</f>
        <v/>
      </c>
      <c r="R255">
        <f>IF(P255="","",P255+(1000-M255)/10000000)</f>
        <v/>
      </c>
    </row>
    <row r="256">
      <c r="A256" t="n">
        <v>255</v>
      </c>
      <c r="B256">
        <f>IF(A256&gt;ROWS(avaliacoes_qualidade[escola]),"",INDEX(avaliacoes_qualidade[escola],A256))</f>
        <v/>
      </c>
      <c r="C256">
        <f>IF(B256="","",INDEX(avaliacoes_qualidade[Nota média],A256))</f>
        <v/>
      </c>
      <c r="D256">
        <f>IF(B256="","",INDEX(avaliacoes_qualidade[Avaliações],A256))</f>
        <v/>
      </c>
      <c r="E256">
        <f>IF(B256="","",IFERROR(INDEX(escolas[Column1.tipo],MATCH(B256,escolas[Column1.nome],0)),"—"))</f>
        <v/>
      </c>
      <c r="F256">
        <f>IF(B256="","",SUMPRODUCT(MAX((RIGHT(B256,LEN(enderecos_escolas[cidade])+1)=" "&amp;enderecos_escolas[cidade])*LEN(enderecos_escolas[cidade]))))</f>
        <v/>
      </c>
      <c r="G256">
        <f>IF(B256="","",IFERROR(INDEX(enderecos_escolas[estado],MATCH(1,INDEX((RIGHT(B256,LEN(enderecos_escolas[cidade])+1)=" "&amp;enderecos_escolas[cidade])*(LEN(enderecos_escolas[cidade])=F256),0),0)),"—"))</f>
        <v/>
      </c>
      <c r="H256">
        <f>IF(B256="","",IFERROR(VLOOKUP(G256,'Parâmetros'!$A$5:$B$31,2,FALSE),"Não localizada"))</f>
        <v/>
      </c>
      <c r="I256">
        <f>IF(B256="","",IFERROR(INDEX(enderecos_escolas[tipoLocalizacao],MATCH(1,INDEX((RIGHT(B256,LEN(enderecos_escolas[cidade])+1)=" "&amp;enderecos_escolas[cidade])*(LEN(enderecos_escolas[cidade])=F256),0),0)),"—"))</f>
        <v/>
      </c>
      <c r="K256">
        <f>IF(C256="","",IF(AND(OR('Ranking Escolas'!$F$4="Todas",H256='Ranking Escolas'!$F$4),OR('Ranking Escolas'!$I$4="Todos",E256='Ranking Escolas'!$I$4)),C256+(1000-A256)/10000000,""))</f>
        <v/>
      </c>
      <c r="M256" t="n">
        <v>255</v>
      </c>
      <c r="N256">
        <f>IF(M256&gt;ROWS(avaliacoes_cursos[curso]),"",INDEX(avaliacoes_cursos[curso],M256))</f>
        <v/>
      </c>
      <c r="O256">
        <f>IF(N256="","",INDEX(avaliacoes_cursos[escola],M256))</f>
        <v/>
      </c>
      <c r="P256">
        <f>IF(N256="","",INDEX(avaliacoes_cursos[Nota média],M256))</f>
        <v/>
      </c>
      <c r="Q256">
        <f>IF(N256="","",IF(COUNTIF(avaliacoes_cursos[curso],N256)&gt;1,N256&amp;" — "&amp;O256,N256))</f>
        <v/>
      </c>
      <c r="R256">
        <f>IF(P256="","",P256+(1000-M256)/10000000)</f>
        <v/>
      </c>
    </row>
    <row r="257">
      <c r="A257" t="n">
        <v>256</v>
      </c>
      <c r="B257">
        <f>IF(A257&gt;ROWS(avaliacoes_qualidade[escola]),"",INDEX(avaliacoes_qualidade[escola],A257))</f>
        <v/>
      </c>
      <c r="C257">
        <f>IF(B257="","",INDEX(avaliacoes_qualidade[Nota média],A257))</f>
        <v/>
      </c>
      <c r="D257">
        <f>IF(B257="","",INDEX(avaliacoes_qualidade[Avaliações],A257))</f>
        <v/>
      </c>
      <c r="E257">
        <f>IF(B257="","",IFERROR(INDEX(escolas[Column1.tipo],MATCH(B257,escolas[Column1.nome],0)),"—"))</f>
        <v/>
      </c>
      <c r="F257">
        <f>IF(B257="","",SUMPRODUCT(MAX((RIGHT(B257,LEN(enderecos_escolas[cidade])+1)=" "&amp;enderecos_escolas[cidade])*LEN(enderecos_escolas[cidade]))))</f>
        <v/>
      </c>
      <c r="G257">
        <f>IF(B257="","",IFERROR(INDEX(enderecos_escolas[estado],MATCH(1,INDEX((RIGHT(B257,LEN(enderecos_escolas[cidade])+1)=" "&amp;enderecos_escolas[cidade])*(LEN(enderecos_escolas[cidade])=F257),0),0)),"—"))</f>
        <v/>
      </c>
      <c r="H257">
        <f>IF(B257="","",IFERROR(VLOOKUP(G257,'Parâmetros'!$A$5:$B$31,2,FALSE),"Não localizada"))</f>
        <v/>
      </c>
      <c r="I257">
        <f>IF(B257="","",IFERROR(INDEX(enderecos_escolas[tipoLocalizacao],MATCH(1,INDEX((RIGHT(B257,LEN(enderecos_escolas[cidade])+1)=" "&amp;enderecos_escolas[cidade])*(LEN(enderecos_escolas[cidade])=F257),0),0)),"—"))</f>
        <v/>
      </c>
      <c r="K257">
        <f>IF(C257="","",IF(AND(OR('Ranking Escolas'!$F$4="Todas",H257='Ranking Escolas'!$F$4),OR('Ranking Escolas'!$I$4="Todos",E257='Ranking Escolas'!$I$4)),C257+(1000-A257)/10000000,""))</f>
        <v/>
      </c>
      <c r="M257" t="n">
        <v>256</v>
      </c>
      <c r="N257">
        <f>IF(M257&gt;ROWS(avaliacoes_cursos[curso]),"",INDEX(avaliacoes_cursos[curso],M257))</f>
        <v/>
      </c>
      <c r="O257">
        <f>IF(N257="","",INDEX(avaliacoes_cursos[escola],M257))</f>
        <v/>
      </c>
      <c r="P257">
        <f>IF(N257="","",INDEX(avaliacoes_cursos[Nota média],M257))</f>
        <v/>
      </c>
      <c r="Q257">
        <f>IF(N257="","",IF(COUNTIF(avaliacoes_cursos[curso],N257)&gt;1,N257&amp;" — "&amp;O257,N257))</f>
        <v/>
      </c>
      <c r="R257">
        <f>IF(P257="","",P257+(1000-M257)/10000000)</f>
        <v/>
      </c>
    </row>
    <row r="258">
      <c r="A258" t="n">
        <v>257</v>
      </c>
      <c r="B258">
        <f>IF(A258&gt;ROWS(avaliacoes_qualidade[escola]),"",INDEX(avaliacoes_qualidade[escola],A258))</f>
        <v/>
      </c>
      <c r="C258">
        <f>IF(B258="","",INDEX(avaliacoes_qualidade[Nota média],A258))</f>
        <v/>
      </c>
      <c r="D258">
        <f>IF(B258="","",INDEX(avaliacoes_qualidade[Avaliações],A258))</f>
        <v/>
      </c>
      <c r="E258">
        <f>IF(B258="","",IFERROR(INDEX(escolas[Column1.tipo],MATCH(B258,escolas[Column1.nome],0)),"—"))</f>
        <v/>
      </c>
      <c r="F258">
        <f>IF(B258="","",SUMPRODUCT(MAX((RIGHT(B258,LEN(enderecos_escolas[cidade])+1)=" "&amp;enderecos_escolas[cidade])*LEN(enderecos_escolas[cidade]))))</f>
        <v/>
      </c>
      <c r="G258">
        <f>IF(B258="","",IFERROR(INDEX(enderecos_escolas[estado],MATCH(1,INDEX((RIGHT(B258,LEN(enderecos_escolas[cidade])+1)=" "&amp;enderecos_escolas[cidade])*(LEN(enderecos_escolas[cidade])=F258),0),0)),"—"))</f>
        <v/>
      </c>
      <c r="H258">
        <f>IF(B258="","",IFERROR(VLOOKUP(G258,'Parâmetros'!$A$5:$B$31,2,FALSE),"Não localizada"))</f>
        <v/>
      </c>
      <c r="I258">
        <f>IF(B258="","",IFERROR(INDEX(enderecos_escolas[tipoLocalizacao],MATCH(1,INDEX((RIGHT(B258,LEN(enderecos_escolas[cidade])+1)=" "&amp;enderecos_escolas[cidade])*(LEN(enderecos_escolas[cidade])=F258),0),0)),"—"))</f>
        <v/>
      </c>
      <c r="K258">
        <f>IF(C258="","",IF(AND(OR('Ranking Escolas'!$F$4="Todas",H258='Ranking Escolas'!$F$4),OR('Ranking Escolas'!$I$4="Todos",E258='Ranking Escolas'!$I$4)),C258+(1000-A258)/10000000,""))</f>
        <v/>
      </c>
      <c r="M258" t="n">
        <v>257</v>
      </c>
      <c r="N258">
        <f>IF(M258&gt;ROWS(avaliacoes_cursos[curso]),"",INDEX(avaliacoes_cursos[curso],M258))</f>
        <v/>
      </c>
      <c r="O258">
        <f>IF(N258="","",INDEX(avaliacoes_cursos[escola],M258))</f>
        <v/>
      </c>
      <c r="P258">
        <f>IF(N258="","",INDEX(avaliacoes_cursos[Nota média],M258))</f>
        <v/>
      </c>
      <c r="Q258">
        <f>IF(N258="","",IF(COUNTIF(avaliacoes_cursos[curso],N258)&gt;1,N258&amp;" — "&amp;O258,N258))</f>
        <v/>
      </c>
      <c r="R258">
        <f>IF(P258="","",P258+(1000-M258)/10000000)</f>
        <v/>
      </c>
    </row>
    <row r="259">
      <c r="A259" t="n">
        <v>258</v>
      </c>
      <c r="B259">
        <f>IF(A259&gt;ROWS(avaliacoes_qualidade[escola]),"",INDEX(avaliacoes_qualidade[escola],A259))</f>
        <v/>
      </c>
      <c r="C259">
        <f>IF(B259="","",INDEX(avaliacoes_qualidade[Nota média],A259))</f>
        <v/>
      </c>
      <c r="D259">
        <f>IF(B259="","",INDEX(avaliacoes_qualidade[Avaliações],A259))</f>
        <v/>
      </c>
      <c r="E259">
        <f>IF(B259="","",IFERROR(INDEX(escolas[Column1.tipo],MATCH(B259,escolas[Column1.nome],0)),"—"))</f>
        <v/>
      </c>
      <c r="F259">
        <f>IF(B259="","",SUMPRODUCT(MAX((RIGHT(B259,LEN(enderecos_escolas[cidade])+1)=" "&amp;enderecos_escolas[cidade])*LEN(enderecos_escolas[cidade]))))</f>
        <v/>
      </c>
      <c r="G259">
        <f>IF(B259="","",IFERROR(INDEX(enderecos_escolas[estado],MATCH(1,INDEX((RIGHT(B259,LEN(enderecos_escolas[cidade])+1)=" "&amp;enderecos_escolas[cidade])*(LEN(enderecos_escolas[cidade])=F259),0),0)),"—"))</f>
        <v/>
      </c>
      <c r="H259">
        <f>IF(B259="","",IFERROR(VLOOKUP(G259,'Parâmetros'!$A$5:$B$31,2,FALSE),"Não localizada"))</f>
        <v/>
      </c>
      <c r="I259">
        <f>IF(B259="","",IFERROR(INDEX(enderecos_escolas[tipoLocalizacao],MATCH(1,INDEX((RIGHT(B259,LEN(enderecos_escolas[cidade])+1)=" "&amp;enderecos_escolas[cidade])*(LEN(enderecos_escolas[cidade])=F259),0),0)),"—"))</f>
        <v/>
      </c>
      <c r="K259">
        <f>IF(C259="","",IF(AND(OR('Ranking Escolas'!$F$4="Todas",H259='Ranking Escolas'!$F$4),OR('Ranking Escolas'!$I$4="Todos",E259='Ranking Escolas'!$I$4)),C259+(1000-A259)/10000000,""))</f>
        <v/>
      </c>
      <c r="M259" t="n">
        <v>258</v>
      </c>
      <c r="N259">
        <f>IF(M259&gt;ROWS(avaliacoes_cursos[curso]),"",INDEX(avaliacoes_cursos[curso],M259))</f>
        <v/>
      </c>
      <c r="O259">
        <f>IF(N259="","",INDEX(avaliacoes_cursos[escola],M259))</f>
        <v/>
      </c>
      <c r="P259">
        <f>IF(N259="","",INDEX(avaliacoes_cursos[Nota média],M259))</f>
        <v/>
      </c>
      <c r="Q259">
        <f>IF(N259="","",IF(COUNTIF(avaliacoes_cursos[curso],N259)&gt;1,N259&amp;" — "&amp;O259,N259))</f>
        <v/>
      </c>
      <c r="R259">
        <f>IF(P259="","",P259+(1000-M259)/10000000)</f>
        <v/>
      </c>
    </row>
    <row r="260">
      <c r="A260" t="n">
        <v>259</v>
      </c>
      <c r="B260">
        <f>IF(A260&gt;ROWS(avaliacoes_qualidade[escola]),"",INDEX(avaliacoes_qualidade[escola],A260))</f>
        <v/>
      </c>
      <c r="C260">
        <f>IF(B260="","",INDEX(avaliacoes_qualidade[Nota média],A260))</f>
        <v/>
      </c>
      <c r="D260">
        <f>IF(B260="","",INDEX(avaliacoes_qualidade[Avaliações],A260))</f>
        <v/>
      </c>
      <c r="E260">
        <f>IF(B260="","",IFERROR(INDEX(escolas[Column1.tipo],MATCH(B260,escolas[Column1.nome],0)),"—"))</f>
        <v/>
      </c>
      <c r="F260">
        <f>IF(B260="","",SUMPRODUCT(MAX((RIGHT(B260,LEN(enderecos_escolas[cidade])+1)=" "&amp;enderecos_escolas[cidade])*LEN(enderecos_escolas[cidade]))))</f>
        <v/>
      </c>
      <c r="G260">
        <f>IF(B260="","",IFERROR(INDEX(enderecos_escolas[estado],MATCH(1,INDEX((RIGHT(B260,LEN(enderecos_escolas[cidade])+1)=" "&amp;enderecos_escolas[cidade])*(LEN(enderecos_escolas[cidade])=F260),0),0)),"—"))</f>
        <v/>
      </c>
      <c r="H260">
        <f>IF(B260="","",IFERROR(VLOOKUP(G260,'Parâmetros'!$A$5:$B$31,2,FALSE),"Não localizada"))</f>
        <v/>
      </c>
      <c r="I260">
        <f>IF(B260="","",IFERROR(INDEX(enderecos_escolas[tipoLocalizacao],MATCH(1,INDEX((RIGHT(B260,LEN(enderecos_escolas[cidade])+1)=" "&amp;enderecos_escolas[cidade])*(LEN(enderecos_escolas[cidade])=F260),0),0)),"—"))</f>
        <v/>
      </c>
      <c r="K260">
        <f>IF(C260="","",IF(AND(OR('Ranking Escolas'!$F$4="Todas",H260='Ranking Escolas'!$F$4),OR('Ranking Escolas'!$I$4="Todos",E260='Ranking Escolas'!$I$4)),C260+(1000-A260)/10000000,""))</f>
        <v/>
      </c>
      <c r="M260" t="n">
        <v>259</v>
      </c>
      <c r="N260">
        <f>IF(M260&gt;ROWS(avaliacoes_cursos[curso]),"",INDEX(avaliacoes_cursos[curso],M260))</f>
        <v/>
      </c>
      <c r="O260">
        <f>IF(N260="","",INDEX(avaliacoes_cursos[escola],M260))</f>
        <v/>
      </c>
      <c r="P260">
        <f>IF(N260="","",INDEX(avaliacoes_cursos[Nota média],M260))</f>
        <v/>
      </c>
      <c r="Q260">
        <f>IF(N260="","",IF(COUNTIF(avaliacoes_cursos[curso],N260)&gt;1,N260&amp;" — "&amp;O260,N260))</f>
        <v/>
      </c>
      <c r="R260">
        <f>IF(P260="","",P260+(1000-M260)/10000000)</f>
        <v/>
      </c>
    </row>
    <row r="261">
      <c r="A261" t="n">
        <v>260</v>
      </c>
      <c r="B261">
        <f>IF(A261&gt;ROWS(avaliacoes_qualidade[escola]),"",INDEX(avaliacoes_qualidade[escola],A261))</f>
        <v/>
      </c>
      <c r="C261">
        <f>IF(B261="","",INDEX(avaliacoes_qualidade[Nota média],A261))</f>
        <v/>
      </c>
      <c r="D261">
        <f>IF(B261="","",INDEX(avaliacoes_qualidade[Avaliações],A261))</f>
        <v/>
      </c>
      <c r="E261">
        <f>IF(B261="","",IFERROR(INDEX(escolas[Column1.tipo],MATCH(B261,escolas[Column1.nome],0)),"—"))</f>
        <v/>
      </c>
      <c r="F261">
        <f>IF(B261="","",SUMPRODUCT(MAX((RIGHT(B261,LEN(enderecos_escolas[cidade])+1)=" "&amp;enderecos_escolas[cidade])*LEN(enderecos_escolas[cidade]))))</f>
        <v/>
      </c>
      <c r="G261">
        <f>IF(B261="","",IFERROR(INDEX(enderecos_escolas[estado],MATCH(1,INDEX((RIGHT(B261,LEN(enderecos_escolas[cidade])+1)=" "&amp;enderecos_escolas[cidade])*(LEN(enderecos_escolas[cidade])=F261),0),0)),"—"))</f>
        <v/>
      </c>
      <c r="H261">
        <f>IF(B261="","",IFERROR(VLOOKUP(G261,'Parâmetros'!$A$5:$B$31,2,FALSE),"Não localizada"))</f>
        <v/>
      </c>
      <c r="I261">
        <f>IF(B261="","",IFERROR(INDEX(enderecos_escolas[tipoLocalizacao],MATCH(1,INDEX((RIGHT(B261,LEN(enderecos_escolas[cidade])+1)=" "&amp;enderecos_escolas[cidade])*(LEN(enderecos_escolas[cidade])=F261),0),0)),"—"))</f>
        <v/>
      </c>
      <c r="K261">
        <f>IF(C261="","",IF(AND(OR('Ranking Escolas'!$F$4="Todas",H261='Ranking Escolas'!$F$4),OR('Ranking Escolas'!$I$4="Todos",E261='Ranking Escolas'!$I$4)),C261+(1000-A261)/10000000,""))</f>
        <v/>
      </c>
      <c r="M261" t="n">
        <v>260</v>
      </c>
      <c r="N261">
        <f>IF(M261&gt;ROWS(avaliacoes_cursos[curso]),"",INDEX(avaliacoes_cursos[curso],M261))</f>
        <v/>
      </c>
      <c r="O261">
        <f>IF(N261="","",INDEX(avaliacoes_cursos[escola],M261))</f>
        <v/>
      </c>
      <c r="P261">
        <f>IF(N261="","",INDEX(avaliacoes_cursos[Nota média],M261))</f>
        <v/>
      </c>
      <c r="Q261">
        <f>IF(N261="","",IF(COUNTIF(avaliacoes_cursos[curso],N261)&gt;1,N261&amp;" — "&amp;O261,N261))</f>
        <v/>
      </c>
      <c r="R261">
        <f>IF(P261="","",P261+(1000-M261)/10000000)</f>
        <v/>
      </c>
    </row>
    <row r="262">
      <c r="A262" t="n">
        <v>261</v>
      </c>
      <c r="B262">
        <f>IF(A262&gt;ROWS(avaliacoes_qualidade[escola]),"",INDEX(avaliacoes_qualidade[escola],A262))</f>
        <v/>
      </c>
      <c r="C262">
        <f>IF(B262="","",INDEX(avaliacoes_qualidade[Nota média],A262))</f>
        <v/>
      </c>
      <c r="D262">
        <f>IF(B262="","",INDEX(avaliacoes_qualidade[Avaliações],A262))</f>
        <v/>
      </c>
      <c r="E262">
        <f>IF(B262="","",IFERROR(INDEX(escolas[Column1.tipo],MATCH(B262,escolas[Column1.nome],0)),"—"))</f>
        <v/>
      </c>
      <c r="F262">
        <f>IF(B262="","",SUMPRODUCT(MAX((RIGHT(B262,LEN(enderecos_escolas[cidade])+1)=" "&amp;enderecos_escolas[cidade])*LEN(enderecos_escolas[cidade]))))</f>
        <v/>
      </c>
      <c r="G262">
        <f>IF(B262="","",IFERROR(INDEX(enderecos_escolas[estado],MATCH(1,INDEX((RIGHT(B262,LEN(enderecos_escolas[cidade])+1)=" "&amp;enderecos_escolas[cidade])*(LEN(enderecos_escolas[cidade])=F262),0),0)),"—"))</f>
        <v/>
      </c>
      <c r="H262">
        <f>IF(B262="","",IFERROR(VLOOKUP(G262,'Parâmetros'!$A$5:$B$31,2,FALSE),"Não localizada"))</f>
        <v/>
      </c>
      <c r="I262">
        <f>IF(B262="","",IFERROR(INDEX(enderecos_escolas[tipoLocalizacao],MATCH(1,INDEX((RIGHT(B262,LEN(enderecos_escolas[cidade])+1)=" "&amp;enderecos_escolas[cidade])*(LEN(enderecos_escolas[cidade])=F262),0),0)),"—"))</f>
        <v/>
      </c>
      <c r="K262">
        <f>IF(C262="","",IF(AND(OR('Ranking Escolas'!$F$4="Todas",H262='Ranking Escolas'!$F$4),OR('Ranking Escolas'!$I$4="Todos",E262='Ranking Escolas'!$I$4)),C262+(1000-A262)/10000000,""))</f>
        <v/>
      </c>
      <c r="M262" t="n">
        <v>261</v>
      </c>
      <c r="N262">
        <f>IF(M262&gt;ROWS(avaliacoes_cursos[curso]),"",INDEX(avaliacoes_cursos[curso],M262))</f>
        <v/>
      </c>
      <c r="O262">
        <f>IF(N262="","",INDEX(avaliacoes_cursos[escola],M262))</f>
        <v/>
      </c>
      <c r="P262">
        <f>IF(N262="","",INDEX(avaliacoes_cursos[Nota média],M262))</f>
        <v/>
      </c>
      <c r="Q262">
        <f>IF(N262="","",IF(COUNTIF(avaliacoes_cursos[curso],N262)&gt;1,N262&amp;" — "&amp;O262,N262))</f>
        <v/>
      </c>
      <c r="R262">
        <f>IF(P262="","",P262+(1000-M262)/10000000)</f>
        <v/>
      </c>
    </row>
    <row r="263">
      <c r="A263" t="n">
        <v>262</v>
      </c>
      <c r="B263">
        <f>IF(A263&gt;ROWS(avaliacoes_qualidade[escola]),"",INDEX(avaliacoes_qualidade[escola],A263))</f>
        <v/>
      </c>
      <c r="C263">
        <f>IF(B263="","",INDEX(avaliacoes_qualidade[Nota média],A263))</f>
        <v/>
      </c>
      <c r="D263">
        <f>IF(B263="","",INDEX(avaliacoes_qualidade[Avaliações],A263))</f>
        <v/>
      </c>
      <c r="E263">
        <f>IF(B263="","",IFERROR(INDEX(escolas[Column1.tipo],MATCH(B263,escolas[Column1.nome],0)),"—"))</f>
        <v/>
      </c>
      <c r="F263">
        <f>IF(B263="","",SUMPRODUCT(MAX((RIGHT(B263,LEN(enderecos_escolas[cidade])+1)=" "&amp;enderecos_escolas[cidade])*LEN(enderecos_escolas[cidade]))))</f>
        <v/>
      </c>
      <c r="G263">
        <f>IF(B263="","",IFERROR(INDEX(enderecos_escolas[estado],MATCH(1,INDEX((RIGHT(B263,LEN(enderecos_escolas[cidade])+1)=" "&amp;enderecos_escolas[cidade])*(LEN(enderecos_escolas[cidade])=F263),0),0)),"—"))</f>
        <v/>
      </c>
      <c r="H263">
        <f>IF(B263="","",IFERROR(VLOOKUP(G263,'Parâmetros'!$A$5:$B$31,2,FALSE),"Não localizada"))</f>
        <v/>
      </c>
      <c r="I263">
        <f>IF(B263="","",IFERROR(INDEX(enderecos_escolas[tipoLocalizacao],MATCH(1,INDEX((RIGHT(B263,LEN(enderecos_escolas[cidade])+1)=" "&amp;enderecos_escolas[cidade])*(LEN(enderecos_escolas[cidade])=F263),0),0)),"—"))</f>
        <v/>
      </c>
      <c r="K263">
        <f>IF(C263="","",IF(AND(OR('Ranking Escolas'!$F$4="Todas",H263='Ranking Escolas'!$F$4),OR('Ranking Escolas'!$I$4="Todos",E263='Ranking Escolas'!$I$4)),C263+(1000-A263)/10000000,""))</f>
        <v/>
      </c>
      <c r="M263" t="n">
        <v>262</v>
      </c>
      <c r="N263">
        <f>IF(M263&gt;ROWS(avaliacoes_cursos[curso]),"",INDEX(avaliacoes_cursos[curso],M263))</f>
        <v/>
      </c>
      <c r="O263">
        <f>IF(N263="","",INDEX(avaliacoes_cursos[escola],M263))</f>
        <v/>
      </c>
      <c r="P263">
        <f>IF(N263="","",INDEX(avaliacoes_cursos[Nota média],M263))</f>
        <v/>
      </c>
      <c r="Q263">
        <f>IF(N263="","",IF(COUNTIF(avaliacoes_cursos[curso],N263)&gt;1,N263&amp;" — "&amp;O263,N263))</f>
        <v/>
      </c>
      <c r="R263">
        <f>IF(P263="","",P263+(1000-M263)/10000000)</f>
        <v/>
      </c>
    </row>
    <row r="264">
      <c r="A264" t="n">
        <v>263</v>
      </c>
      <c r="B264">
        <f>IF(A264&gt;ROWS(avaliacoes_qualidade[escola]),"",INDEX(avaliacoes_qualidade[escola],A264))</f>
        <v/>
      </c>
      <c r="C264">
        <f>IF(B264="","",INDEX(avaliacoes_qualidade[Nota média],A264))</f>
        <v/>
      </c>
      <c r="D264">
        <f>IF(B264="","",INDEX(avaliacoes_qualidade[Avaliações],A264))</f>
        <v/>
      </c>
      <c r="E264">
        <f>IF(B264="","",IFERROR(INDEX(escolas[Column1.tipo],MATCH(B264,escolas[Column1.nome],0)),"—"))</f>
        <v/>
      </c>
      <c r="F264">
        <f>IF(B264="","",SUMPRODUCT(MAX((RIGHT(B264,LEN(enderecos_escolas[cidade])+1)=" "&amp;enderecos_escolas[cidade])*LEN(enderecos_escolas[cidade]))))</f>
        <v/>
      </c>
      <c r="G264">
        <f>IF(B264="","",IFERROR(INDEX(enderecos_escolas[estado],MATCH(1,INDEX((RIGHT(B264,LEN(enderecos_escolas[cidade])+1)=" "&amp;enderecos_escolas[cidade])*(LEN(enderecos_escolas[cidade])=F264),0),0)),"—"))</f>
        <v/>
      </c>
      <c r="H264">
        <f>IF(B264="","",IFERROR(VLOOKUP(G264,'Parâmetros'!$A$5:$B$31,2,FALSE),"Não localizada"))</f>
        <v/>
      </c>
      <c r="I264">
        <f>IF(B264="","",IFERROR(INDEX(enderecos_escolas[tipoLocalizacao],MATCH(1,INDEX((RIGHT(B264,LEN(enderecos_escolas[cidade])+1)=" "&amp;enderecos_escolas[cidade])*(LEN(enderecos_escolas[cidade])=F264),0),0)),"—"))</f>
        <v/>
      </c>
      <c r="K264">
        <f>IF(C264="","",IF(AND(OR('Ranking Escolas'!$F$4="Todas",H264='Ranking Escolas'!$F$4),OR('Ranking Escolas'!$I$4="Todos",E264='Ranking Escolas'!$I$4)),C264+(1000-A264)/10000000,""))</f>
        <v/>
      </c>
      <c r="M264" t="n">
        <v>263</v>
      </c>
      <c r="N264">
        <f>IF(M264&gt;ROWS(avaliacoes_cursos[curso]),"",INDEX(avaliacoes_cursos[curso],M264))</f>
        <v/>
      </c>
      <c r="O264">
        <f>IF(N264="","",INDEX(avaliacoes_cursos[escola],M264))</f>
        <v/>
      </c>
      <c r="P264">
        <f>IF(N264="","",INDEX(avaliacoes_cursos[Nota média],M264))</f>
        <v/>
      </c>
      <c r="Q264">
        <f>IF(N264="","",IF(COUNTIF(avaliacoes_cursos[curso],N264)&gt;1,N264&amp;" — "&amp;O264,N264))</f>
        <v/>
      </c>
      <c r="R264">
        <f>IF(P264="","",P264+(1000-M264)/10000000)</f>
        <v/>
      </c>
    </row>
    <row r="265">
      <c r="A265" t="n">
        <v>264</v>
      </c>
      <c r="B265">
        <f>IF(A265&gt;ROWS(avaliacoes_qualidade[escola]),"",INDEX(avaliacoes_qualidade[escola],A265))</f>
        <v/>
      </c>
      <c r="C265">
        <f>IF(B265="","",INDEX(avaliacoes_qualidade[Nota média],A265))</f>
        <v/>
      </c>
      <c r="D265">
        <f>IF(B265="","",INDEX(avaliacoes_qualidade[Avaliações],A265))</f>
        <v/>
      </c>
      <c r="E265">
        <f>IF(B265="","",IFERROR(INDEX(escolas[Column1.tipo],MATCH(B265,escolas[Column1.nome],0)),"—"))</f>
        <v/>
      </c>
      <c r="F265">
        <f>IF(B265="","",SUMPRODUCT(MAX((RIGHT(B265,LEN(enderecos_escolas[cidade])+1)=" "&amp;enderecos_escolas[cidade])*LEN(enderecos_escolas[cidade]))))</f>
        <v/>
      </c>
      <c r="G265">
        <f>IF(B265="","",IFERROR(INDEX(enderecos_escolas[estado],MATCH(1,INDEX((RIGHT(B265,LEN(enderecos_escolas[cidade])+1)=" "&amp;enderecos_escolas[cidade])*(LEN(enderecos_escolas[cidade])=F265),0),0)),"—"))</f>
        <v/>
      </c>
      <c r="H265">
        <f>IF(B265="","",IFERROR(VLOOKUP(G265,'Parâmetros'!$A$5:$B$31,2,FALSE),"Não localizada"))</f>
        <v/>
      </c>
      <c r="I265">
        <f>IF(B265="","",IFERROR(INDEX(enderecos_escolas[tipoLocalizacao],MATCH(1,INDEX((RIGHT(B265,LEN(enderecos_escolas[cidade])+1)=" "&amp;enderecos_escolas[cidade])*(LEN(enderecos_escolas[cidade])=F265),0),0)),"—"))</f>
        <v/>
      </c>
      <c r="K265">
        <f>IF(C265="","",IF(AND(OR('Ranking Escolas'!$F$4="Todas",H265='Ranking Escolas'!$F$4),OR('Ranking Escolas'!$I$4="Todos",E265='Ranking Escolas'!$I$4)),C265+(1000-A265)/10000000,""))</f>
        <v/>
      </c>
      <c r="M265" t="n">
        <v>264</v>
      </c>
      <c r="N265">
        <f>IF(M265&gt;ROWS(avaliacoes_cursos[curso]),"",INDEX(avaliacoes_cursos[curso],M265))</f>
        <v/>
      </c>
      <c r="O265">
        <f>IF(N265="","",INDEX(avaliacoes_cursos[escola],M265))</f>
        <v/>
      </c>
      <c r="P265">
        <f>IF(N265="","",INDEX(avaliacoes_cursos[Nota média],M265))</f>
        <v/>
      </c>
      <c r="Q265">
        <f>IF(N265="","",IF(COUNTIF(avaliacoes_cursos[curso],N265)&gt;1,N265&amp;" — "&amp;O265,N265))</f>
        <v/>
      </c>
      <c r="R265">
        <f>IF(P265="","",P265+(1000-M265)/10000000)</f>
        <v/>
      </c>
    </row>
    <row r="266">
      <c r="A266" t="n">
        <v>265</v>
      </c>
      <c r="B266">
        <f>IF(A266&gt;ROWS(avaliacoes_qualidade[escola]),"",INDEX(avaliacoes_qualidade[escola],A266))</f>
        <v/>
      </c>
      <c r="C266">
        <f>IF(B266="","",INDEX(avaliacoes_qualidade[Nota média],A266))</f>
        <v/>
      </c>
      <c r="D266">
        <f>IF(B266="","",INDEX(avaliacoes_qualidade[Avaliações],A266))</f>
        <v/>
      </c>
      <c r="E266">
        <f>IF(B266="","",IFERROR(INDEX(escolas[Column1.tipo],MATCH(B266,escolas[Column1.nome],0)),"—"))</f>
        <v/>
      </c>
      <c r="F266">
        <f>IF(B266="","",SUMPRODUCT(MAX((RIGHT(B266,LEN(enderecos_escolas[cidade])+1)=" "&amp;enderecos_escolas[cidade])*LEN(enderecos_escolas[cidade]))))</f>
        <v/>
      </c>
      <c r="G266">
        <f>IF(B266="","",IFERROR(INDEX(enderecos_escolas[estado],MATCH(1,INDEX((RIGHT(B266,LEN(enderecos_escolas[cidade])+1)=" "&amp;enderecos_escolas[cidade])*(LEN(enderecos_escolas[cidade])=F266),0),0)),"—"))</f>
        <v/>
      </c>
      <c r="H266">
        <f>IF(B266="","",IFERROR(VLOOKUP(G266,'Parâmetros'!$A$5:$B$31,2,FALSE),"Não localizada"))</f>
        <v/>
      </c>
      <c r="I266">
        <f>IF(B266="","",IFERROR(INDEX(enderecos_escolas[tipoLocalizacao],MATCH(1,INDEX((RIGHT(B266,LEN(enderecos_escolas[cidade])+1)=" "&amp;enderecos_escolas[cidade])*(LEN(enderecos_escolas[cidade])=F266),0),0)),"—"))</f>
        <v/>
      </c>
      <c r="K266">
        <f>IF(C266="","",IF(AND(OR('Ranking Escolas'!$F$4="Todas",H266='Ranking Escolas'!$F$4),OR('Ranking Escolas'!$I$4="Todos",E266='Ranking Escolas'!$I$4)),C266+(1000-A266)/10000000,""))</f>
        <v/>
      </c>
      <c r="M266" t="n">
        <v>265</v>
      </c>
      <c r="N266">
        <f>IF(M266&gt;ROWS(avaliacoes_cursos[curso]),"",INDEX(avaliacoes_cursos[curso],M266))</f>
        <v/>
      </c>
      <c r="O266">
        <f>IF(N266="","",INDEX(avaliacoes_cursos[escola],M266))</f>
        <v/>
      </c>
      <c r="P266">
        <f>IF(N266="","",INDEX(avaliacoes_cursos[Nota média],M266))</f>
        <v/>
      </c>
      <c r="Q266">
        <f>IF(N266="","",IF(COUNTIF(avaliacoes_cursos[curso],N266)&gt;1,N266&amp;" — "&amp;O266,N266))</f>
        <v/>
      </c>
      <c r="R266">
        <f>IF(P266="","",P266+(1000-M266)/10000000)</f>
        <v/>
      </c>
    </row>
    <row r="267">
      <c r="A267" t="n">
        <v>266</v>
      </c>
      <c r="B267">
        <f>IF(A267&gt;ROWS(avaliacoes_qualidade[escola]),"",INDEX(avaliacoes_qualidade[escola],A267))</f>
        <v/>
      </c>
      <c r="C267">
        <f>IF(B267="","",INDEX(avaliacoes_qualidade[Nota média],A267))</f>
        <v/>
      </c>
      <c r="D267">
        <f>IF(B267="","",INDEX(avaliacoes_qualidade[Avaliações],A267))</f>
        <v/>
      </c>
      <c r="E267">
        <f>IF(B267="","",IFERROR(INDEX(escolas[Column1.tipo],MATCH(B267,escolas[Column1.nome],0)),"—"))</f>
        <v/>
      </c>
      <c r="F267">
        <f>IF(B267="","",SUMPRODUCT(MAX((RIGHT(B267,LEN(enderecos_escolas[cidade])+1)=" "&amp;enderecos_escolas[cidade])*LEN(enderecos_escolas[cidade]))))</f>
        <v/>
      </c>
      <c r="G267">
        <f>IF(B267="","",IFERROR(INDEX(enderecos_escolas[estado],MATCH(1,INDEX((RIGHT(B267,LEN(enderecos_escolas[cidade])+1)=" "&amp;enderecos_escolas[cidade])*(LEN(enderecos_escolas[cidade])=F267),0),0)),"—"))</f>
        <v/>
      </c>
      <c r="H267">
        <f>IF(B267="","",IFERROR(VLOOKUP(G267,'Parâmetros'!$A$5:$B$31,2,FALSE),"Não localizada"))</f>
        <v/>
      </c>
      <c r="I267">
        <f>IF(B267="","",IFERROR(INDEX(enderecos_escolas[tipoLocalizacao],MATCH(1,INDEX((RIGHT(B267,LEN(enderecos_escolas[cidade])+1)=" "&amp;enderecos_escolas[cidade])*(LEN(enderecos_escolas[cidade])=F267),0),0)),"—"))</f>
        <v/>
      </c>
      <c r="K267">
        <f>IF(C267="","",IF(AND(OR('Ranking Escolas'!$F$4="Todas",H267='Ranking Escolas'!$F$4),OR('Ranking Escolas'!$I$4="Todos",E267='Ranking Escolas'!$I$4)),C267+(1000-A267)/10000000,""))</f>
        <v/>
      </c>
      <c r="M267" t="n">
        <v>266</v>
      </c>
      <c r="N267">
        <f>IF(M267&gt;ROWS(avaliacoes_cursos[curso]),"",INDEX(avaliacoes_cursos[curso],M267))</f>
        <v/>
      </c>
      <c r="O267">
        <f>IF(N267="","",INDEX(avaliacoes_cursos[escola],M267))</f>
        <v/>
      </c>
      <c r="P267">
        <f>IF(N267="","",INDEX(avaliacoes_cursos[Nota média],M267))</f>
        <v/>
      </c>
      <c r="Q267">
        <f>IF(N267="","",IF(COUNTIF(avaliacoes_cursos[curso],N267)&gt;1,N267&amp;" — "&amp;O267,N267))</f>
        <v/>
      </c>
      <c r="R267">
        <f>IF(P267="","",P267+(1000-M267)/10000000)</f>
        <v/>
      </c>
    </row>
    <row r="268">
      <c r="A268" t="n">
        <v>267</v>
      </c>
      <c r="B268">
        <f>IF(A268&gt;ROWS(avaliacoes_qualidade[escola]),"",INDEX(avaliacoes_qualidade[escola],A268))</f>
        <v/>
      </c>
      <c r="C268">
        <f>IF(B268="","",INDEX(avaliacoes_qualidade[Nota média],A268))</f>
        <v/>
      </c>
      <c r="D268">
        <f>IF(B268="","",INDEX(avaliacoes_qualidade[Avaliações],A268))</f>
        <v/>
      </c>
      <c r="E268">
        <f>IF(B268="","",IFERROR(INDEX(escolas[Column1.tipo],MATCH(B268,escolas[Column1.nome],0)),"—"))</f>
        <v/>
      </c>
      <c r="F268">
        <f>IF(B268="","",SUMPRODUCT(MAX((RIGHT(B268,LEN(enderecos_escolas[cidade])+1)=" "&amp;enderecos_escolas[cidade])*LEN(enderecos_escolas[cidade]))))</f>
        <v/>
      </c>
      <c r="G268">
        <f>IF(B268="","",IFERROR(INDEX(enderecos_escolas[estado],MATCH(1,INDEX((RIGHT(B268,LEN(enderecos_escolas[cidade])+1)=" "&amp;enderecos_escolas[cidade])*(LEN(enderecos_escolas[cidade])=F268),0),0)),"—"))</f>
        <v/>
      </c>
      <c r="H268">
        <f>IF(B268="","",IFERROR(VLOOKUP(G268,'Parâmetros'!$A$5:$B$31,2,FALSE),"Não localizada"))</f>
        <v/>
      </c>
      <c r="I268">
        <f>IF(B268="","",IFERROR(INDEX(enderecos_escolas[tipoLocalizacao],MATCH(1,INDEX((RIGHT(B268,LEN(enderecos_escolas[cidade])+1)=" "&amp;enderecos_escolas[cidade])*(LEN(enderecos_escolas[cidade])=F268),0),0)),"—"))</f>
        <v/>
      </c>
      <c r="K268">
        <f>IF(C268="","",IF(AND(OR('Ranking Escolas'!$F$4="Todas",H268='Ranking Escolas'!$F$4),OR('Ranking Escolas'!$I$4="Todos",E268='Ranking Escolas'!$I$4)),C268+(1000-A268)/10000000,""))</f>
        <v/>
      </c>
      <c r="M268" t="n">
        <v>267</v>
      </c>
      <c r="N268">
        <f>IF(M268&gt;ROWS(avaliacoes_cursos[curso]),"",INDEX(avaliacoes_cursos[curso],M268))</f>
        <v/>
      </c>
      <c r="O268">
        <f>IF(N268="","",INDEX(avaliacoes_cursos[escola],M268))</f>
        <v/>
      </c>
      <c r="P268">
        <f>IF(N268="","",INDEX(avaliacoes_cursos[Nota média],M268))</f>
        <v/>
      </c>
      <c r="Q268">
        <f>IF(N268="","",IF(COUNTIF(avaliacoes_cursos[curso],N268)&gt;1,N268&amp;" — "&amp;O268,N268))</f>
        <v/>
      </c>
      <c r="R268">
        <f>IF(P268="","",P268+(1000-M268)/10000000)</f>
        <v/>
      </c>
    </row>
    <row r="269">
      <c r="A269" t="n">
        <v>268</v>
      </c>
      <c r="B269">
        <f>IF(A269&gt;ROWS(avaliacoes_qualidade[escola]),"",INDEX(avaliacoes_qualidade[escola],A269))</f>
        <v/>
      </c>
      <c r="C269">
        <f>IF(B269="","",INDEX(avaliacoes_qualidade[Nota média],A269))</f>
        <v/>
      </c>
      <c r="D269">
        <f>IF(B269="","",INDEX(avaliacoes_qualidade[Avaliações],A269))</f>
        <v/>
      </c>
      <c r="E269">
        <f>IF(B269="","",IFERROR(INDEX(escolas[Column1.tipo],MATCH(B269,escolas[Column1.nome],0)),"—"))</f>
        <v/>
      </c>
      <c r="F269">
        <f>IF(B269="","",SUMPRODUCT(MAX((RIGHT(B269,LEN(enderecos_escolas[cidade])+1)=" "&amp;enderecos_escolas[cidade])*LEN(enderecos_escolas[cidade]))))</f>
        <v/>
      </c>
      <c r="G269">
        <f>IF(B269="","",IFERROR(INDEX(enderecos_escolas[estado],MATCH(1,INDEX((RIGHT(B269,LEN(enderecos_escolas[cidade])+1)=" "&amp;enderecos_escolas[cidade])*(LEN(enderecos_escolas[cidade])=F269),0),0)),"—"))</f>
        <v/>
      </c>
      <c r="H269">
        <f>IF(B269="","",IFERROR(VLOOKUP(G269,'Parâmetros'!$A$5:$B$31,2,FALSE),"Não localizada"))</f>
        <v/>
      </c>
      <c r="I269">
        <f>IF(B269="","",IFERROR(INDEX(enderecos_escolas[tipoLocalizacao],MATCH(1,INDEX((RIGHT(B269,LEN(enderecos_escolas[cidade])+1)=" "&amp;enderecos_escolas[cidade])*(LEN(enderecos_escolas[cidade])=F269),0),0)),"—"))</f>
        <v/>
      </c>
      <c r="K269">
        <f>IF(C269="","",IF(AND(OR('Ranking Escolas'!$F$4="Todas",H269='Ranking Escolas'!$F$4),OR('Ranking Escolas'!$I$4="Todos",E269='Ranking Escolas'!$I$4)),C269+(1000-A269)/10000000,""))</f>
        <v/>
      </c>
      <c r="M269" t="n">
        <v>268</v>
      </c>
      <c r="N269">
        <f>IF(M269&gt;ROWS(avaliacoes_cursos[curso]),"",INDEX(avaliacoes_cursos[curso],M269))</f>
        <v/>
      </c>
      <c r="O269">
        <f>IF(N269="","",INDEX(avaliacoes_cursos[escola],M269))</f>
        <v/>
      </c>
      <c r="P269">
        <f>IF(N269="","",INDEX(avaliacoes_cursos[Nota média],M269))</f>
        <v/>
      </c>
      <c r="Q269">
        <f>IF(N269="","",IF(COUNTIF(avaliacoes_cursos[curso],N269)&gt;1,N269&amp;" — "&amp;O269,N269))</f>
        <v/>
      </c>
      <c r="R269">
        <f>IF(P269="","",P269+(1000-M269)/10000000)</f>
        <v/>
      </c>
    </row>
    <row r="270">
      <c r="A270" t="n">
        <v>269</v>
      </c>
      <c r="B270">
        <f>IF(A270&gt;ROWS(avaliacoes_qualidade[escola]),"",INDEX(avaliacoes_qualidade[escola],A270))</f>
        <v/>
      </c>
      <c r="C270">
        <f>IF(B270="","",INDEX(avaliacoes_qualidade[Nota média],A270))</f>
        <v/>
      </c>
      <c r="D270">
        <f>IF(B270="","",INDEX(avaliacoes_qualidade[Avaliações],A270))</f>
        <v/>
      </c>
      <c r="E270">
        <f>IF(B270="","",IFERROR(INDEX(escolas[Column1.tipo],MATCH(B270,escolas[Column1.nome],0)),"—"))</f>
        <v/>
      </c>
      <c r="F270">
        <f>IF(B270="","",SUMPRODUCT(MAX((RIGHT(B270,LEN(enderecos_escolas[cidade])+1)=" "&amp;enderecos_escolas[cidade])*LEN(enderecos_escolas[cidade]))))</f>
        <v/>
      </c>
      <c r="G270">
        <f>IF(B270="","",IFERROR(INDEX(enderecos_escolas[estado],MATCH(1,INDEX((RIGHT(B270,LEN(enderecos_escolas[cidade])+1)=" "&amp;enderecos_escolas[cidade])*(LEN(enderecos_escolas[cidade])=F270),0),0)),"—"))</f>
        <v/>
      </c>
      <c r="H270">
        <f>IF(B270="","",IFERROR(VLOOKUP(G270,'Parâmetros'!$A$5:$B$31,2,FALSE),"Não localizada"))</f>
        <v/>
      </c>
      <c r="I270">
        <f>IF(B270="","",IFERROR(INDEX(enderecos_escolas[tipoLocalizacao],MATCH(1,INDEX((RIGHT(B270,LEN(enderecos_escolas[cidade])+1)=" "&amp;enderecos_escolas[cidade])*(LEN(enderecos_escolas[cidade])=F270),0),0)),"—"))</f>
        <v/>
      </c>
      <c r="K270">
        <f>IF(C270="","",IF(AND(OR('Ranking Escolas'!$F$4="Todas",H270='Ranking Escolas'!$F$4),OR('Ranking Escolas'!$I$4="Todos",E270='Ranking Escolas'!$I$4)),C270+(1000-A270)/10000000,""))</f>
        <v/>
      </c>
      <c r="M270" t="n">
        <v>269</v>
      </c>
      <c r="N270">
        <f>IF(M270&gt;ROWS(avaliacoes_cursos[curso]),"",INDEX(avaliacoes_cursos[curso],M270))</f>
        <v/>
      </c>
      <c r="O270">
        <f>IF(N270="","",INDEX(avaliacoes_cursos[escola],M270))</f>
        <v/>
      </c>
      <c r="P270">
        <f>IF(N270="","",INDEX(avaliacoes_cursos[Nota média],M270))</f>
        <v/>
      </c>
      <c r="Q270">
        <f>IF(N270="","",IF(COUNTIF(avaliacoes_cursos[curso],N270)&gt;1,N270&amp;" — "&amp;O270,N270))</f>
        <v/>
      </c>
      <c r="R270">
        <f>IF(P270="","",P270+(1000-M270)/10000000)</f>
        <v/>
      </c>
    </row>
    <row r="271">
      <c r="A271" t="n">
        <v>270</v>
      </c>
      <c r="B271">
        <f>IF(A271&gt;ROWS(avaliacoes_qualidade[escola]),"",INDEX(avaliacoes_qualidade[escola],A271))</f>
        <v/>
      </c>
      <c r="C271">
        <f>IF(B271="","",INDEX(avaliacoes_qualidade[Nota média],A271))</f>
        <v/>
      </c>
      <c r="D271">
        <f>IF(B271="","",INDEX(avaliacoes_qualidade[Avaliações],A271))</f>
        <v/>
      </c>
      <c r="E271">
        <f>IF(B271="","",IFERROR(INDEX(escolas[Column1.tipo],MATCH(B271,escolas[Column1.nome],0)),"—"))</f>
        <v/>
      </c>
      <c r="F271">
        <f>IF(B271="","",SUMPRODUCT(MAX((RIGHT(B271,LEN(enderecos_escolas[cidade])+1)=" "&amp;enderecos_escolas[cidade])*LEN(enderecos_escolas[cidade]))))</f>
        <v/>
      </c>
      <c r="G271">
        <f>IF(B271="","",IFERROR(INDEX(enderecos_escolas[estado],MATCH(1,INDEX((RIGHT(B271,LEN(enderecos_escolas[cidade])+1)=" "&amp;enderecos_escolas[cidade])*(LEN(enderecos_escolas[cidade])=F271),0),0)),"—"))</f>
        <v/>
      </c>
      <c r="H271">
        <f>IF(B271="","",IFERROR(VLOOKUP(G271,'Parâmetros'!$A$5:$B$31,2,FALSE),"Não localizada"))</f>
        <v/>
      </c>
      <c r="I271">
        <f>IF(B271="","",IFERROR(INDEX(enderecos_escolas[tipoLocalizacao],MATCH(1,INDEX((RIGHT(B271,LEN(enderecos_escolas[cidade])+1)=" "&amp;enderecos_escolas[cidade])*(LEN(enderecos_escolas[cidade])=F271),0),0)),"—"))</f>
        <v/>
      </c>
      <c r="K271">
        <f>IF(C271="","",IF(AND(OR('Ranking Escolas'!$F$4="Todas",H271='Ranking Escolas'!$F$4),OR('Ranking Escolas'!$I$4="Todos",E271='Ranking Escolas'!$I$4)),C271+(1000-A271)/10000000,""))</f>
        <v/>
      </c>
      <c r="M271" t="n">
        <v>270</v>
      </c>
      <c r="N271">
        <f>IF(M271&gt;ROWS(avaliacoes_cursos[curso]),"",INDEX(avaliacoes_cursos[curso],M271))</f>
        <v/>
      </c>
      <c r="O271">
        <f>IF(N271="","",INDEX(avaliacoes_cursos[escola],M271))</f>
        <v/>
      </c>
      <c r="P271">
        <f>IF(N271="","",INDEX(avaliacoes_cursos[Nota média],M271))</f>
        <v/>
      </c>
      <c r="Q271">
        <f>IF(N271="","",IF(COUNTIF(avaliacoes_cursos[curso],N271)&gt;1,N271&amp;" — "&amp;O271,N271))</f>
        <v/>
      </c>
      <c r="R271">
        <f>IF(P271="","",P271+(1000-M271)/10000000)</f>
        <v/>
      </c>
    </row>
    <row r="272">
      <c r="A272" t="n">
        <v>271</v>
      </c>
      <c r="B272">
        <f>IF(A272&gt;ROWS(avaliacoes_qualidade[escola]),"",INDEX(avaliacoes_qualidade[escola],A272))</f>
        <v/>
      </c>
      <c r="C272">
        <f>IF(B272="","",INDEX(avaliacoes_qualidade[Nota média],A272))</f>
        <v/>
      </c>
      <c r="D272">
        <f>IF(B272="","",INDEX(avaliacoes_qualidade[Avaliações],A272))</f>
        <v/>
      </c>
      <c r="E272">
        <f>IF(B272="","",IFERROR(INDEX(escolas[Column1.tipo],MATCH(B272,escolas[Column1.nome],0)),"—"))</f>
        <v/>
      </c>
      <c r="F272">
        <f>IF(B272="","",SUMPRODUCT(MAX((RIGHT(B272,LEN(enderecos_escolas[cidade])+1)=" "&amp;enderecos_escolas[cidade])*LEN(enderecos_escolas[cidade]))))</f>
        <v/>
      </c>
      <c r="G272">
        <f>IF(B272="","",IFERROR(INDEX(enderecos_escolas[estado],MATCH(1,INDEX((RIGHT(B272,LEN(enderecos_escolas[cidade])+1)=" "&amp;enderecos_escolas[cidade])*(LEN(enderecos_escolas[cidade])=F272),0),0)),"—"))</f>
        <v/>
      </c>
      <c r="H272">
        <f>IF(B272="","",IFERROR(VLOOKUP(G272,'Parâmetros'!$A$5:$B$31,2,FALSE),"Não localizada"))</f>
        <v/>
      </c>
      <c r="I272">
        <f>IF(B272="","",IFERROR(INDEX(enderecos_escolas[tipoLocalizacao],MATCH(1,INDEX((RIGHT(B272,LEN(enderecos_escolas[cidade])+1)=" "&amp;enderecos_escolas[cidade])*(LEN(enderecos_escolas[cidade])=F272),0),0)),"—"))</f>
        <v/>
      </c>
      <c r="K272">
        <f>IF(C272="","",IF(AND(OR('Ranking Escolas'!$F$4="Todas",H272='Ranking Escolas'!$F$4),OR('Ranking Escolas'!$I$4="Todos",E272='Ranking Escolas'!$I$4)),C272+(1000-A272)/10000000,""))</f>
        <v/>
      </c>
      <c r="M272" t="n">
        <v>271</v>
      </c>
      <c r="N272">
        <f>IF(M272&gt;ROWS(avaliacoes_cursos[curso]),"",INDEX(avaliacoes_cursos[curso],M272))</f>
        <v/>
      </c>
      <c r="O272">
        <f>IF(N272="","",INDEX(avaliacoes_cursos[escola],M272))</f>
        <v/>
      </c>
      <c r="P272">
        <f>IF(N272="","",INDEX(avaliacoes_cursos[Nota média],M272))</f>
        <v/>
      </c>
      <c r="Q272">
        <f>IF(N272="","",IF(COUNTIF(avaliacoes_cursos[curso],N272)&gt;1,N272&amp;" — "&amp;O272,N272))</f>
        <v/>
      </c>
      <c r="R272">
        <f>IF(P272="","",P272+(1000-M272)/10000000)</f>
        <v/>
      </c>
    </row>
    <row r="273">
      <c r="A273" t="n">
        <v>272</v>
      </c>
      <c r="B273">
        <f>IF(A273&gt;ROWS(avaliacoes_qualidade[escola]),"",INDEX(avaliacoes_qualidade[escola],A273))</f>
        <v/>
      </c>
      <c r="C273">
        <f>IF(B273="","",INDEX(avaliacoes_qualidade[Nota média],A273))</f>
        <v/>
      </c>
      <c r="D273">
        <f>IF(B273="","",INDEX(avaliacoes_qualidade[Avaliações],A273))</f>
        <v/>
      </c>
      <c r="E273">
        <f>IF(B273="","",IFERROR(INDEX(escolas[Column1.tipo],MATCH(B273,escolas[Column1.nome],0)),"—"))</f>
        <v/>
      </c>
      <c r="F273">
        <f>IF(B273="","",SUMPRODUCT(MAX((RIGHT(B273,LEN(enderecos_escolas[cidade])+1)=" "&amp;enderecos_escolas[cidade])*LEN(enderecos_escolas[cidade]))))</f>
        <v/>
      </c>
      <c r="G273">
        <f>IF(B273="","",IFERROR(INDEX(enderecos_escolas[estado],MATCH(1,INDEX((RIGHT(B273,LEN(enderecos_escolas[cidade])+1)=" "&amp;enderecos_escolas[cidade])*(LEN(enderecos_escolas[cidade])=F273),0),0)),"—"))</f>
        <v/>
      </c>
      <c r="H273">
        <f>IF(B273="","",IFERROR(VLOOKUP(G273,'Parâmetros'!$A$5:$B$31,2,FALSE),"Não localizada"))</f>
        <v/>
      </c>
      <c r="I273">
        <f>IF(B273="","",IFERROR(INDEX(enderecos_escolas[tipoLocalizacao],MATCH(1,INDEX((RIGHT(B273,LEN(enderecos_escolas[cidade])+1)=" "&amp;enderecos_escolas[cidade])*(LEN(enderecos_escolas[cidade])=F273),0),0)),"—"))</f>
        <v/>
      </c>
      <c r="K273">
        <f>IF(C273="","",IF(AND(OR('Ranking Escolas'!$F$4="Todas",H273='Ranking Escolas'!$F$4),OR('Ranking Escolas'!$I$4="Todos",E273='Ranking Escolas'!$I$4)),C273+(1000-A273)/10000000,""))</f>
        <v/>
      </c>
      <c r="M273" t="n">
        <v>272</v>
      </c>
      <c r="N273">
        <f>IF(M273&gt;ROWS(avaliacoes_cursos[curso]),"",INDEX(avaliacoes_cursos[curso],M273))</f>
        <v/>
      </c>
      <c r="O273">
        <f>IF(N273="","",INDEX(avaliacoes_cursos[escola],M273))</f>
        <v/>
      </c>
      <c r="P273">
        <f>IF(N273="","",INDEX(avaliacoes_cursos[Nota média],M273))</f>
        <v/>
      </c>
      <c r="Q273">
        <f>IF(N273="","",IF(COUNTIF(avaliacoes_cursos[curso],N273)&gt;1,N273&amp;" — "&amp;O273,N273))</f>
        <v/>
      </c>
      <c r="R273">
        <f>IF(P273="","",P273+(1000-M273)/10000000)</f>
        <v/>
      </c>
    </row>
    <row r="274">
      <c r="A274" t="n">
        <v>273</v>
      </c>
      <c r="B274">
        <f>IF(A274&gt;ROWS(avaliacoes_qualidade[escola]),"",INDEX(avaliacoes_qualidade[escola],A274))</f>
        <v/>
      </c>
      <c r="C274">
        <f>IF(B274="","",INDEX(avaliacoes_qualidade[Nota média],A274))</f>
        <v/>
      </c>
      <c r="D274">
        <f>IF(B274="","",INDEX(avaliacoes_qualidade[Avaliações],A274))</f>
        <v/>
      </c>
      <c r="E274">
        <f>IF(B274="","",IFERROR(INDEX(escolas[Column1.tipo],MATCH(B274,escolas[Column1.nome],0)),"—"))</f>
        <v/>
      </c>
      <c r="F274">
        <f>IF(B274="","",SUMPRODUCT(MAX((RIGHT(B274,LEN(enderecos_escolas[cidade])+1)=" "&amp;enderecos_escolas[cidade])*LEN(enderecos_escolas[cidade]))))</f>
        <v/>
      </c>
      <c r="G274">
        <f>IF(B274="","",IFERROR(INDEX(enderecos_escolas[estado],MATCH(1,INDEX((RIGHT(B274,LEN(enderecos_escolas[cidade])+1)=" "&amp;enderecos_escolas[cidade])*(LEN(enderecos_escolas[cidade])=F274),0),0)),"—"))</f>
        <v/>
      </c>
      <c r="H274">
        <f>IF(B274="","",IFERROR(VLOOKUP(G274,'Parâmetros'!$A$5:$B$31,2,FALSE),"Não localizada"))</f>
        <v/>
      </c>
      <c r="I274">
        <f>IF(B274="","",IFERROR(INDEX(enderecos_escolas[tipoLocalizacao],MATCH(1,INDEX((RIGHT(B274,LEN(enderecos_escolas[cidade])+1)=" "&amp;enderecos_escolas[cidade])*(LEN(enderecos_escolas[cidade])=F274),0),0)),"—"))</f>
        <v/>
      </c>
      <c r="K274">
        <f>IF(C274="","",IF(AND(OR('Ranking Escolas'!$F$4="Todas",H274='Ranking Escolas'!$F$4),OR('Ranking Escolas'!$I$4="Todos",E274='Ranking Escolas'!$I$4)),C274+(1000-A274)/10000000,""))</f>
        <v/>
      </c>
      <c r="M274" t="n">
        <v>273</v>
      </c>
      <c r="N274">
        <f>IF(M274&gt;ROWS(avaliacoes_cursos[curso]),"",INDEX(avaliacoes_cursos[curso],M274))</f>
        <v/>
      </c>
      <c r="O274">
        <f>IF(N274="","",INDEX(avaliacoes_cursos[escola],M274))</f>
        <v/>
      </c>
      <c r="P274">
        <f>IF(N274="","",INDEX(avaliacoes_cursos[Nota média],M274))</f>
        <v/>
      </c>
      <c r="Q274">
        <f>IF(N274="","",IF(COUNTIF(avaliacoes_cursos[curso],N274)&gt;1,N274&amp;" — "&amp;O274,N274))</f>
        <v/>
      </c>
      <c r="R274">
        <f>IF(P274="","",P274+(1000-M274)/10000000)</f>
        <v/>
      </c>
    </row>
    <row r="275">
      <c r="A275" t="n">
        <v>274</v>
      </c>
      <c r="B275">
        <f>IF(A275&gt;ROWS(avaliacoes_qualidade[escola]),"",INDEX(avaliacoes_qualidade[escola],A275))</f>
        <v/>
      </c>
      <c r="C275">
        <f>IF(B275="","",INDEX(avaliacoes_qualidade[Nota média],A275))</f>
        <v/>
      </c>
      <c r="D275">
        <f>IF(B275="","",INDEX(avaliacoes_qualidade[Avaliações],A275))</f>
        <v/>
      </c>
      <c r="E275">
        <f>IF(B275="","",IFERROR(INDEX(escolas[Column1.tipo],MATCH(B275,escolas[Column1.nome],0)),"—"))</f>
        <v/>
      </c>
      <c r="F275">
        <f>IF(B275="","",SUMPRODUCT(MAX((RIGHT(B275,LEN(enderecos_escolas[cidade])+1)=" "&amp;enderecos_escolas[cidade])*LEN(enderecos_escolas[cidade]))))</f>
        <v/>
      </c>
      <c r="G275">
        <f>IF(B275="","",IFERROR(INDEX(enderecos_escolas[estado],MATCH(1,INDEX((RIGHT(B275,LEN(enderecos_escolas[cidade])+1)=" "&amp;enderecos_escolas[cidade])*(LEN(enderecos_escolas[cidade])=F275),0),0)),"—"))</f>
        <v/>
      </c>
      <c r="H275">
        <f>IF(B275="","",IFERROR(VLOOKUP(G275,'Parâmetros'!$A$5:$B$31,2,FALSE),"Não localizada"))</f>
        <v/>
      </c>
      <c r="I275">
        <f>IF(B275="","",IFERROR(INDEX(enderecos_escolas[tipoLocalizacao],MATCH(1,INDEX((RIGHT(B275,LEN(enderecos_escolas[cidade])+1)=" "&amp;enderecos_escolas[cidade])*(LEN(enderecos_escolas[cidade])=F275),0),0)),"—"))</f>
        <v/>
      </c>
      <c r="K275">
        <f>IF(C275="","",IF(AND(OR('Ranking Escolas'!$F$4="Todas",H275='Ranking Escolas'!$F$4),OR('Ranking Escolas'!$I$4="Todos",E275='Ranking Escolas'!$I$4)),C275+(1000-A275)/10000000,""))</f>
        <v/>
      </c>
      <c r="M275" t="n">
        <v>274</v>
      </c>
      <c r="N275">
        <f>IF(M275&gt;ROWS(avaliacoes_cursos[curso]),"",INDEX(avaliacoes_cursos[curso],M275))</f>
        <v/>
      </c>
      <c r="O275">
        <f>IF(N275="","",INDEX(avaliacoes_cursos[escola],M275))</f>
        <v/>
      </c>
      <c r="P275">
        <f>IF(N275="","",INDEX(avaliacoes_cursos[Nota média],M275))</f>
        <v/>
      </c>
      <c r="Q275">
        <f>IF(N275="","",IF(COUNTIF(avaliacoes_cursos[curso],N275)&gt;1,N275&amp;" — "&amp;O275,N275))</f>
        <v/>
      </c>
      <c r="R275">
        <f>IF(P275="","",P275+(1000-M275)/10000000)</f>
        <v/>
      </c>
    </row>
    <row r="276">
      <c r="A276" t="n">
        <v>275</v>
      </c>
      <c r="B276">
        <f>IF(A276&gt;ROWS(avaliacoes_qualidade[escola]),"",INDEX(avaliacoes_qualidade[escola],A276))</f>
        <v/>
      </c>
      <c r="C276">
        <f>IF(B276="","",INDEX(avaliacoes_qualidade[Nota média],A276))</f>
        <v/>
      </c>
      <c r="D276">
        <f>IF(B276="","",INDEX(avaliacoes_qualidade[Avaliações],A276))</f>
        <v/>
      </c>
      <c r="E276">
        <f>IF(B276="","",IFERROR(INDEX(escolas[Column1.tipo],MATCH(B276,escolas[Column1.nome],0)),"—"))</f>
        <v/>
      </c>
      <c r="F276">
        <f>IF(B276="","",SUMPRODUCT(MAX((RIGHT(B276,LEN(enderecos_escolas[cidade])+1)=" "&amp;enderecos_escolas[cidade])*LEN(enderecos_escolas[cidade]))))</f>
        <v/>
      </c>
      <c r="G276">
        <f>IF(B276="","",IFERROR(INDEX(enderecos_escolas[estado],MATCH(1,INDEX((RIGHT(B276,LEN(enderecos_escolas[cidade])+1)=" "&amp;enderecos_escolas[cidade])*(LEN(enderecos_escolas[cidade])=F276),0),0)),"—"))</f>
        <v/>
      </c>
      <c r="H276">
        <f>IF(B276="","",IFERROR(VLOOKUP(G276,'Parâmetros'!$A$5:$B$31,2,FALSE),"Não localizada"))</f>
        <v/>
      </c>
      <c r="I276">
        <f>IF(B276="","",IFERROR(INDEX(enderecos_escolas[tipoLocalizacao],MATCH(1,INDEX((RIGHT(B276,LEN(enderecos_escolas[cidade])+1)=" "&amp;enderecos_escolas[cidade])*(LEN(enderecos_escolas[cidade])=F276),0),0)),"—"))</f>
        <v/>
      </c>
      <c r="K276">
        <f>IF(C276="","",IF(AND(OR('Ranking Escolas'!$F$4="Todas",H276='Ranking Escolas'!$F$4),OR('Ranking Escolas'!$I$4="Todos",E276='Ranking Escolas'!$I$4)),C276+(1000-A276)/10000000,""))</f>
        <v/>
      </c>
      <c r="M276" t="n">
        <v>275</v>
      </c>
      <c r="N276">
        <f>IF(M276&gt;ROWS(avaliacoes_cursos[curso]),"",INDEX(avaliacoes_cursos[curso],M276))</f>
        <v/>
      </c>
      <c r="O276">
        <f>IF(N276="","",INDEX(avaliacoes_cursos[escola],M276))</f>
        <v/>
      </c>
      <c r="P276">
        <f>IF(N276="","",INDEX(avaliacoes_cursos[Nota média],M276))</f>
        <v/>
      </c>
      <c r="Q276">
        <f>IF(N276="","",IF(COUNTIF(avaliacoes_cursos[curso],N276)&gt;1,N276&amp;" — "&amp;O276,N276))</f>
        <v/>
      </c>
      <c r="R276">
        <f>IF(P276="","",P276+(1000-M276)/10000000)</f>
        <v/>
      </c>
    </row>
    <row r="277">
      <c r="A277" t="n">
        <v>276</v>
      </c>
      <c r="B277">
        <f>IF(A277&gt;ROWS(avaliacoes_qualidade[escola]),"",INDEX(avaliacoes_qualidade[escola],A277))</f>
        <v/>
      </c>
      <c r="C277">
        <f>IF(B277="","",INDEX(avaliacoes_qualidade[Nota média],A277))</f>
        <v/>
      </c>
      <c r="D277">
        <f>IF(B277="","",INDEX(avaliacoes_qualidade[Avaliações],A277))</f>
        <v/>
      </c>
      <c r="E277">
        <f>IF(B277="","",IFERROR(INDEX(escolas[Column1.tipo],MATCH(B277,escolas[Column1.nome],0)),"—"))</f>
        <v/>
      </c>
      <c r="F277">
        <f>IF(B277="","",SUMPRODUCT(MAX((RIGHT(B277,LEN(enderecos_escolas[cidade])+1)=" "&amp;enderecos_escolas[cidade])*LEN(enderecos_escolas[cidade]))))</f>
        <v/>
      </c>
      <c r="G277">
        <f>IF(B277="","",IFERROR(INDEX(enderecos_escolas[estado],MATCH(1,INDEX((RIGHT(B277,LEN(enderecos_escolas[cidade])+1)=" "&amp;enderecos_escolas[cidade])*(LEN(enderecos_escolas[cidade])=F277),0),0)),"—"))</f>
        <v/>
      </c>
      <c r="H277">
        <f>IF(B277="","",IFERROR(VLOOKUP(G277,'Parâmetros'!$A$5:$B$31,2,FALSE),"Não localizada"))</f>
        <v/>
      </c>
      <c r="I277">
        <f>IF(B277="","",IFERROR(INDEX(enderecos_escolas[tipoLocalizacao],MATCH(1,INDEX((RIGHT(B277,LEN(enderecos_escolas[cidade])+1)=" "&amp;enderecos_escolas[cidade])*(LEN(enderecos_escolas[cidade])=F277),0),0)),"—"))</f>
        <v/>
      </c>
      <c r="K277">
        <f>IF(C277="","",IF(AND(OR('Ranking Escolas'!$F$4="Todas",H277='Ranking Escolas'!$F$4),OR('Ranking Escolas'!$I$4="Todos",E277='Ranking Escolas'!$I$4)),C277+(1000-A277)/10000000,""))</f>
        <v/>
      </c>
      <c r="M277" t="n">
        <v>276</v>
      </c>
      <c r="N277">
        <f>IF(M277&gt;ROWS(avaliacoes_cursos[curso]),"",INDEX(avaliacoes_cursos[curso],M277))</f>
        <v/>
      </c>
      <c r="O277">
        <f>IF(N277="","",INDEX(avaliacoes_cursos[escola],M277))</f>
        <v/>
      </c>
      <c r="P277">
        <f>IF(N277="","",INDEX(avaliacoes_cursos[Nota média],M277))</f>
        <v/>
      </c>
      <c r="Q277">
        <f>IF(N277="","",IF(COUNTIF(avaliacoes_cursos[curso],N277)&gt;1,N277&amp;" — "&amp;O277,N277))</f>
        <v/>
      </c>
      <c r="R277">
        <f>IF(P277="","",P277+(1000-M277)/10000000)</f>
        <v/>
      </c>
    </row>
    <row r="278">
      <c r="A278" t="n">
        <v>277</v>
      </c>
      <c r="B278">
        <f>IF(A278&gt;ROWS(avaliacoes_qualidade[escola]),"",INDEX(avaliacoes_qualidade[escola],A278))</f>
        <v/>
      </c>
      <c r="C278">
        <f>IF(B278="","",INDEX(avaliacoes_qualidade[Nota média],A278))</f>
        <v/>
      </c>
      <c r="D278">
        <f>IF(B278="","",INDEX(avaliacoes_qualidade[Avaliações],A278))</f>
        <v/>
      </c>
      <c r="E278">
        <f>IF(B278="","",IFERROR(INDEX(escolas[Column1.tipo],MATCH(B278,escolas[Column1.nome],0)),"—"))</f>
        <v/>
      </c>
      <c r="F278">
        <f>IF(B278="","",SUMPRODUCT(MAX((RIGHT(B278,LEN(enderecos_escolas[cidade])+1)=" "&amp;enderecos_escolas[cidade])*LEN(enderecos_escolas[cidade]))))</f>
        <v/>
      </c>
      <c r="G278">
        <f>IF(B278="","",IFERROR(INDEX(enderecos_escolas[estado],MATCH(1,INDEX((RIGHT(B278,LEN(enderecos_escolas[cidade])+1)=" "&amp;enderecos_escolas[cidade])*(LEN(enderecos_escolas[cidade])=F278),0),0)),"—"))</f>
        <v/>
      </c>
      <c r="H278">
        <f>IF(B278="","",IFERROR(VLOOKUP(G278,'Parâmetros'!$A$5:$B$31,2,FALSE),"Não localizada"))</f>
        <v/>
      </c>
      <c r="I278">
        <f>IF(B278="","",IFERROR(INDEX(enderecos_escolas[tipoLocalizacao],MATCH(1,INDEX((RIGHT(B278,LEN(enderecos_escolas[cidade])+1)=" "&amp;enderecos_escolas[cidade])*(LEN(enderecos_escolas[cidade])=F278),0),0)),"—"))</f>
        <v/>
      </c>
      <c r="K278">
        <f>IF(C278="","",IF(AND(OR('Ranking Escolas'!$F$4="Todas",H278='Ranking Escolas'!$F$4),OR('Ranking Escolas'!$I$4="Todos",E278='Ranking Escolas'!$I$4)),C278+(1000-A278)/10000000,""))</f>
        <v/>
      </c>
      <c r="M278" t="n">
        <v>277</v>
      </c>
      <c r="N278">
        <f>IF(M278&gt;ROWS(avaliacoes_cursos[curso]),"",INDEX(avaliacoes_cursos[curso],M278))</f>
        <v/>
      </c>
      <c r="O278">
        <f>IF(N278="","",INDEX(avaliacoes_cursos[escola],M278))</f>
        <v/>
      </c>
      <c r="P278">
        <f>IF(N278="","",INDEX(avaliacoes_cursos[Nota média],M278))</f>
        <v/>
      </c>
      <c r="Q278">
        <f>IF(N278="","",IF(COUNTIF(avaliacoes_cursos[curso],N278)&gt;1,N278&amp;" — "&amp;O278,N278))</f>
        <v/>
      </c>
      <c r="R278">
        <f>IF(P278="","",P278+(1000-M278)/10000000)</f>
        <v/>
      </c>
    </row>
    <row r="279">
      <c r="A279" t="n">
        <v>278</v>
      </c>
      <c r="B279">
        <f>IF(A279&gt;ROWS(avaliacoes_qualidade[escola]),"",INDEX(avaliacoes_qualidade[escola],A279))</f>
        <v/>
      </c>
      <c r="C279">
        <f>IF(B279="","",INDEX(avaliacoes_qualidade[Nota média],A279))</f>
        <v/>
      </c>
      <c r="D279">
        <f>IF(B279="","",INDEX(avaliacoes_qualidade[Avaliações],A279))</f>
        <v/>
      </c>
      <c r="E279">
        <f>IF(B279="","",IFERROR(INDEX(escolas[Column1.tipo],MATCH(B279,escolas[Column1.nome],0)),"—"))</f>
        <v/>
      </c>
      <c r="F279">
        <f>IF(B279="","",SUMPRODUCT(MAX((RIGHT(B279,LEN(enderecos_escolas[cidade])+1)=" "&amp;enderecos_escolas[cidade])*LEN(enderecos_escolas[cidade]))))</f>
        <v/>
      </c>
      <c r="G279">
        <f>IF(B279="","",IFERROR(INDEX(enderecos_escolas[estado],MATCH(1,INDEX((RIGHT(B279,LEN(enderecos_escolas[cidade])+1)=" "&amp;enderecos_escolas[cidade])*(LEN(enderecos_escolas[cidade])=F279),0),0)),"—"))</f>
        <v/>
      </c>
      <c r="H279">
        <f>IF(B279="","",IFERROR(VLOOKUP(G279,'Parâmetros'!$A$5:$B$31,2,FALSE),"Não localizada"))</f>
        <v/>
      </c>
      <c r="I279">
        <f>IF(B279="","",IFERROR(INDEX(enderecos_escolas[tipoLocalizacao],MATCH(1,INDEX((RIGHT(B279,LEN(enderecos_escolas[cidade])+1)=" "&amp;enderecos_escolas[cidade])*(LEN(enderecos_escolas[cidade])=F279),0),0)),"—"))</f>
        <v/>
      </c>
      <c r="K279">
        <f>IF(C279="","",IF(AND(OR('Ranking Escolas'!$F$4="Todas",H279='Ranking Escolas'!$F$4),OR('Ranking Escolas'!$I$4="Todos",E279='Ranking Escolas'!$I$4)),C279+(1000-A279)/10000000,""))</f>
        <v/>
      </c>
      <c r="M279" t="n">
        <v>278</v>
      </c>
      <c r="N279">
        <f>IF(M279&gt;ROWS(avaliacoes_cursos[curso]),"",INDEX(avaliacoes_cursos[curso],M279))</f>
        <v/>
      </c>
      <c r="O279">
        <f>IF(N279="","",INDEX(avaliacoes_cursos[escola],M279))</f>
        <v/>
      </c>
      <c r="P279">
        <f>IF(N279="","",INDEX(avaliacoes_cursos[Nota média],M279))</f>
        <v/>
      </c>
      <c r="Q279">
        <f>IF(N279="","",IF(COUNTIF(avaliacoes_cursos[curso],N279)&gt;1,N279&amp;" — "&amp;O279,N279))</f>
        <v/>
      </c>
      <c r="R279">
        <f>IF(P279="","",P279+(1000-M279)/10000000)</f>
        <v/>
      </c>
    </row>
    <row r="280">
      <c r="A280" t="n">
        <v>279</v>
      </c>
      <c r="B280">
        <f>IF(A280&gt;ROWS(avaliacoes_qualidade[escola]),"",INDEX(avaliacoes_qualidade[escola],A280))</f>
        <v/>
      </c>
      <c r="C280">
        <f>IF(B280="","",INDEX(avaliacoes_qualidade[Nota média],A280))</f>
        <v/>
      </c>
      <c r="D280">
        <f>IF(B280="","",INDEX(avaliacoes_qualidade[Avaliações],A280))</f>
        <v/>
      </c>
      <c r="E280">
        <f>IF(B280="","",IFERROR(INDEX(escolas[Column1.tipo],MATCH(B280,escolas[Column1.nome],0)),"—"))</f>
        <v/>
      </c>
      <c r="F280">
        <f>IF(B280="","",SUMPRODUCT(MAX((RIGHT(B280,LEN(enderecos_escolas[cidade])+1)=" "&amp;enderecos_escolas[cidade])*LEN(enderecos_escolas[cidade]))))</f>
        <v/>
      </c>
      <c r="G280">
        <f>IF(B280="","",IFERROR(INDEX(enderecos_escolas[estado],MATCH(1,INDEX((RIGHT(B280,LEN(enderecos_escolas[cidade])+1)=" "&amp;enderecos_escolas[cidade])*(LEN(enderecos_escolas[cidade])=F280),0),0)),"—"))</f>
        <v/>
      </c>
      <c r="H280">
        <f>IF(B280="","",IFERROR(VLOOKUP(G280,'Parâmetros'!$A$5:$B$31,2,FALSE),"Não localizada"))</f>
        <v/>
      </c>
      <c r="I280">
        <f>IF(B280="","",IFERROR(INDEX(enderecos_escolas[tipoLocalizacao],MATCH(1,INDEX((RIGHT(B280,LEN(enderecos_escolas[cidade])+1)=" "&amp;enderecos_escolas[cidade])*(LEN(enderecos_escolas[cidade])=F280),0),0)),"—"))</f>
        <v/>
      </c>
      <c r="K280">
        <f>IF(C280="","",IF(AND(OR('Ranking Escolas'!$F$4="Todas",H280='Ranking Escolas'!$F$4),OR('Ranking Escolas'!$I$4="Todos",E280='Ranking Escolas'!$I$4)),C280+(1000-A280)/10000000,""))</f>
        <v/>
      </c>
      <c r="M280" t="n">
        <v>279</v>
      </c>
      <c r="N280">
        <f>IF(M280&gt;ROWS(avaliacoes_cursos[curso]),"",INDEX(avaliacoes_cursos[curso],M280))</f>
        <v/>
      </c>
      <c r="O280">
        <f>IF(N280="","",INDEX(avaliacoes_cursos[escola],M280))</f>
        <v/>
      </c>
      <c r="P280">
        <f>IF(N280="","",INDEX(avaliacoes_cursos[Nota média],M280))</f>
        <v/>
      </c>
      <c r="Q280">
        <f>IF(N280="","",IF(COUNTIF(avaliacoes_cursos[curso],N280)&gt;1,N280&amp;" — "&amp;O280,N280))</f>
        <v/>
      </c>
      <c r="R280">
        <f>IF(P280="","",P280+(1000-M280)/10000000)</f>
        <v/>
      </c>
    </row>
    <row r="281">
      <c r="A281" t="n">
        <v>280</v>
      </c>
      <c r="B281">
        <f>IF(A281&gt;ROWS(avaliacoes_qualidade[escola]),"",INDEX(avaliacoes_qualidade[escola],A281))</f>
        <v/>
      </c>
      <c r="C281">
        <f>IF(B281="","",INDEX(avaliacoes_qualidade[Nota média],A281))</f>
        <v/>
      </c>
      <c r="D281">
        <f>IF(B281="","",INDEX(avaliacoes_qualidade[Avaliações],A281))</f>
        <v/>
      </c>
      <c r="E281">
        <f>IF(B281="","",IFERROR(INDEX(escolas[Column1.tipo],MATCH(B281,escolas[Column1.nome],0)),"—"))</f>
        <v/>
      </c>
      <c r="F281">
        <f>IF(B281="","",SUMPRODUCT(MAX((RIGHT(B281,LEN(enderecos_escolas[cidade])+1)=" "&amp;enderecos_escolas[cidade])*LEN(enderecos_escolas[cidade]))))</f>
        <v/>
      </c>
      <c r="G281">
        <f>IF(B281="","",IFERROR(INDEX(enderecos_escolas[estado],MATCH(1,INDEX((RIGHT(B281,LEN(enderecos_escolas[cidade])+1)=" "&amp;enderecos_escolas[cidade])*(LEN(enderecos_escolas[cidade])=F281),0),0)),"—"))</f>
        <v/>
      </c>
      <c r="H281">
        <f>IF(B281="","",IFERROR(VLOOKUP(G281,'Parâmetros'!$A$5:$B$31,2,FALSE),"Não localizada"))</f>
        <v/>
      </c>
      <c r="I281">
        <f>IF(B281="","",IFERROR(INDEX(enderecos_escolas[tipoLocalizacao],MATCH(1,INDEX((RIGHT(B281,LEN(enderecos_escolas[cidade])+1)=" "&amp;enderecos_escolas[cidade])*(LEN(enderecos_escolas[cidade])=F281),0),0)),"—"))</f>
        <v/>
      </c>
      <c r="K281">
        <f>IF(C281="","",IF(AND(OR('Ranking Escolas'!$F$4="Todas",H281='Ranking Escolas'!$F$4),OR('Ranking Escolas'!$I$4="Todos",E281='Ranking Escolas'!$I$4)),C281+(1000-A281)/10000000,""))</f>
        <v/>
      </c>
      <c r="M281" t="n">
        <v>280</v>
      </c>
      <c r="N281">
        <f>IF(M281&gt;ROWS(avaliacoes_cursos[curso]),"",INDEX(avaliacoes_cursos[curso],M281))</f>
        <v/>
      </c>
      <c r="O281">
        <f>IF(N281="","",INDEX(avaliacoes_cursos[escola],M281))</f>
        <v/>
      </c>
      <c r="P281">
        <f>IF(N281="","",INDEX(avaliacoes_cursos[Nota média],M281))</f>
        <v/>
      </c>
      <c r="Q281">
        <f>IF(N281="","",IF(COUNTIF(avaliacoes_cursos[curso],N281)&gt;1,N281&amp;" — "&amp;O281,N281))</f>
        <v/>
      </c>
      <c r="R281">
        <f>IF(P281="","",P281+(1000-M281)/10000000)</f>
        <v/>
      </c>
    </row>
    <row r="282">
      <c r="A282" t="n">
        <v>281</v>
      </c>
      <c r="B282">
        <f>IF(A282&gt;ROWS(avaliacoes_qualidade[escola]),"",INDEX(avaliacoes_qualidade[escola],A282))</f>
        <v/>
      </c>
      <c r="C282">
        <f>IF(B282="","",INDEX(avaliacoes_qualidade[Nota média],A282))</f>
        <v/>
      </c>
      <c r="D282">
        <f>IF(B282="","",INDEX(avaliacoes_qualidade[Avaliações],A282))</f>
        <v/>
      </c>
      <c r="E282">
        <f>IF(B282="","",IFERROR(INDEX(escolas[Column1.tipo],MATCH(B282,escolas[Column1.nome],0)),"—"))</f>
        <v/>
      </c>
      <c r="F282">
        <f>IF(B282="","",SUMPRODUCT(MAX((RIGHT(B282,LEN(enderecos_escolas[cidade])+1)=" "&amp;enderecos_escolas[cidade])*LEN(enderecos_escolas[cidade]))))</f>
        <v/>
      </c>
      <c r="G282">
        <f>IF(B282="","",IFERROR(INDEX(enderecos_escolas[estado],MATCH(1,INDEX((RIGHT(B282,LEN(enderecos_escolas[cidade])+1)=" "&amp;enderecos_escolas[cidade])*(LEN(enderecos_escolas[cidade])=F282),0),0)),"—"))</f>
        <v/>
      </c>
      <c r="H282">
        <f>IF(B282="","",IFERROR(VLOOKUP(G282,'Parâmetros'!$A$5:$B$31,2,FALSE),"Não localizada"))</f>
        <v/>
      </c>
      <c r="I282">
        <f>IF(B282="","",IFERROR(INDEX(enderecos_escolas[tipoLocalizacao],MATCH(1,INDEX((RIGHT(B282,LEN(enderecos_escolas[cidade])+1)=" "&amp;enderecos_escolas[cidade])*(LEN(enderecos_escolas[cidade])=F282),0),0)),"—"))</f>
        <v/>
      </c>
      <c r="K282">
        <f>IF(C282="","",IF(AND(OR('Ranking Escolas'!$F$4="Todas",H282='Ranking Escolas'!$F$4),OR('Ranking Escolas'!$I$4="Todos",E282='Ranking Escolas'!$I$4)),C282+(1000-A282)/10000000,""))</f>
        <v/>
      </c>
      <c r="M282" t="n">
        <v>281</v>
      </c>
      <c r="N282">
        <f>IF(M282&gt;ROWS(avaliacoes_cursos[curso]),"",INDEX(avaliacoes_cursos[curso],M282))</f>
        <v/>
      </c>
      <c r="O282">
        <f>IF(N282="","",INDEX(avaliacoes_cursos[escola],M282))</f>
        <v/>
      </c>
      <c r="P282">
        <f>IF(N282="","",INDEX(avaliacoes_cursos[Nota média],M282))</f>
        <v/>
      </c>
      <c r="Q282">
        <f>IF(N282="","",IF(COUNTIF(avaliacoes_cursos[curso],N282)&gt;1,N282&amp;" — "&amp;O282,N282))</f>
        <v/>
      </c>
      <c r="R282">
        <f>IF(P282="","",P282+(1000-M282)/10000000)</f>
        <v/>
      </c>
    </row>
    <row r="283">
      <c r="A283" t="n">
        <v>282</v>
      </c>
      <c r="B283">
        <f>IF(A283&gt;ROWS(avaliacoes_qualidade[escola]),"",INDEX(avaliacoes_qualidade[escola],A283))</f>
        <v/>
      </c>
      <c r="C283">
        <f>IF(B283="","",INDEX(avaliacoes_qualidade[Nota média],A283))</f>
        <v/>
      </c>
      <c r="D283">
        <f>IF(B283="","",INDEX(avaliacoes_qualidade[Avaliações],A283))</f>
        <v/>
      </c>
      <c r="E283">
        <f>IF(B283="","",IFERROR(INDEX(escolas[Column1.tipo],MATCH(B283,escolas[Column1.nome],0)),"—"))</f>
        <v/>
      </c>
      <c r="F283">
        <f>IF(B283="","",SUMPRODUCT(MAX((RIGHT(B283,LEN(enderecos_escolas[cidade])+1)=" "&amp;enderecos_escolas[cidade])*LEN(enderecos_escolas[cidade]))))</f>
        <v/>
      </c>
      <c r="G283">
        <f>IF(B283="","",IFERROR(INDEX(enderecos_escolas[estado],MATCH(1,INDEX((RIGHT(B283,LEN(enderecos_escolas[cidade])+1)=" "&amp;enderecos_escolas[cidade])*(LEN(enderecos_escolas[cidade])=F283),0),0)),"—"))</f>
        <v/>
      </c>
      <c r="H283">
        <f>IF(B283="","",IFERROR(VLOOKUP(G283,'Parâmetros'!$A$5:$B$31,2,FALSE),"Não localizada"))</f>
        <v/>
      </c>
      <c r="I283">
        <f>IF(B283="","",IFERROR(INDEX(enderecos_escolas[tipoLocalizacao],MATCH(1,INDEX((RIGHT(B283,LEN(enderecos_escolas[cidade])+1)=" "&amp;enderecos_escolas[cidade])*(LEN(enderecos_escolas[cidade])=F283),0),0)),"—"))</f>
        <v/>
      </c>
      <c r="K283">
        <f>IF(C283="","",IF(AND(OR('Ranking Escolas'!$F$4="Todas",H283='Ranking Escolas'!$F$4),OR('Ranking Escolas'!$I$4="Todos",E283='Ranking Escolas'!$I$4)),C283+(1000-A283)/10000000,""))</f>
        <v/>
      </c>
      <c r="M283" t="n">
        <v>282</v>
      </c>
      <c r="N283">
        <f>IF(M283&gt;ROWS(avaliacoes_cursos[curso]),"",INDEX(avaliacoes_cursos[curso],M283))</f>
        <v/>
      </c>
      <c r="O283">
        <f>IF(N283="","",INDEX(avaliacoes_cursos[escola],M283))</f>
        <v/>
      </c>
      <c r="P283">
        <f>IF(N283="","",INDEX(avaliacoes_cursos[Nota média],M283))</f>
        <v/>
      </c>
      <c r="Q283">
        <f>IF(N283="","",IF(COUNTIF(avaliacoes_cursos[curso],N283)&gt;1,N283&amp;" — "&amp;O283,N283))</f>
        <v/>
      </c>
      <c r="R283">
        <f>IF(P283="","",P283+(1000-M283)/10000000)</f>
        <v/>
      </c>
    </row>
    <row r="284">
      <c r="A284" t="n">
        <v>283</v>
      </c>
      <c r="B284">
        <f>IF(A284&gt;ROWS(avaliacoes_qualidade[escola]),"",INDEX(avaliacoes_qualidade[escola],A284))</f>
        <v/>
      </c>
      <c r="C284">
        <f>IF(B284="","",INDEX(avaliacoes_qualidade[Nota média],A284))</f>
        <v/>
      </c>
      <c r="D284">
        <f>IF(B284="","",INDEX(avaliacoes_qualidade[Avaliações],A284))</f>
        <v/>
      </c>
      <c r="E284">
        <f>IF(B284="","",IFERROR(INDEX(escolas[Column1.tipo],MATCH(B284,escolas[Column1.nome],0)),"—"))</f>
        <v/>
      </c>
      <c r="F284">
        <f>IF(B284="","",SUMPRODUCT(MAX((RIGHT(B284,LEN(enderecos_escolas[cidade])+1)=" "&amp;enderecos_escolas[cidade])*LEN(enderecos_escolas[cidade]))))</f>
        <v/>
      </c>
      <c r="G284">
        <f>IF(B284="","",IFERROR(INDEX(enderecos_escolas[estado],MATCH(1,INDEX((RIGHT(B284,LEN(enderecos_escolas[cidade])+1)=" "&amp;enderecos_escolas[cidade])*(LEN(enderecos_escolas[cidade])=F284),0),0)),"—"))</f>
        <v/>
      </c>
      <c r="H284">
        <f>IF(B284="","",IFERROR(VLOOKUP(G284,'Parâmetros'!$A$5:$B$31,2,FALSE),"Não localizada"))</f>
        <v/>
      </c>
      <c r="I284">
        <f>IF(B284="","",IFERROR(INDEX(enderecos_escolas[tipoLocalizacao],MATCH(1,INDEX((RIGHT(B284,LEN(enderecos_escolas[cidade])+1)=" "&amp;enderecos_escolas[cidade])*(LEN(enderecos_escolas[cidade])=F284),0),0)),"—"))</f>
        <v/>
      </c>
      <c r="K284">
        <f>IF(C284="","",IF(AND(OR('Ranking Escolas'!$F$4="Todas",H284='Ranking Escolas'!$F$4),OR('Ranking Escolas'!$I$4="Todos",E284='Ranking Escolas'!$I$4)),C284+(1000-A284)/10000000,""))</f>
        <v/>
      </c>
      <c r="M284" t="n">
        <v>283</v>
      </c>
      <c r="N284">
        <f>IF(M284&gt;ROWS(avaliacoes_cursos[curso]),"",INDEX(avaliacoes_cursos[curso],M284))</f>
        <v/>
      </c>
      <c r="O284">
        <f>IF(N284="","",INDEX(avaliacoes_cursos[escola],M284))</f>
        <v/>
      </c>
      <c r="P284">
        <f>IF(N284="","",INDEX(avaliacoes_cursos[Nota média],M284))</f>
        <v/>
      </c>
      <c r="Q284">
        <f>IF(N284="","",IF(COUNTIF(avaliacoes_cursos[curso],N284)&gt;1,N284&amp;" — "&amp;O284,N284))</f>
        <v/>
      </c>
      <c r="R284">
        <f>IF(P284="","",P284+(1000-M284)/10000000)</f>
        <v/>
      </c>
    </row>
    <row r="285">
      <c r="A285" t="n">
        <v>284</v>
      </c>
      <c r="B285">
        <f>IF(A285&gt;ROWS(avaliacoes_qualidade[escola]),"",INDEX(avaliacoes_qualidade[escola],A285))</f>
        <v/>
      </c>
      <c r="C285">
        <f>IF(B285="","",INDEX(avaliacoes_qualidade[Nota média],A285))</f>
        <v/>
      </c>
      <c r="D285">
        <f>IF(B285="","",INDEX(avaliacoes_qualidade[Avaliações],A285))</f>
        <v/>
      </c>
      <c r="E285">
        <f>IF(B285="","",IFERROR(INDEX(escolas[Column1.tipo],MATCH(B285,escolas[Column1.nome],0)),"—"))</f>
        <v/>
      </c>
      <c r="F285">
        <f>IF(B285="","",SUMPRODUCT(MAX((RIGHT(B285,LEN(enderecos_escolas[cidade])+1)=" "&amp;enderecos_escolas[cidade])*LEN(enderecos_escolas[cidade]))))</f>
        <v/>
      </c>
      <c r="G285">
        <f>IF(B285="","",IFERROR(INDEX(enderecos_escolas[estado],MATCH(1,INDEX((RIGHT(B285,LEN(enderecos_escolas[cidade])+1)=" "&amp;enderecos_escolas[cidade])*(LEN(enderecos_escolas[cidade])=F285),0),0)),"—"))</f>
        <v/>
      </c>
      <c r="H285">
        <f>IF(B285="","",IFERROR(VLOOKUP(G285,'Parâmetros'!$A$5:$B$31,2,FALSE),"Não localizada"))</f>
        <v/>
      </c>
      <c r="I285">
        <f>IF(B285="","",IFERROR(INDEX(enderecos_escolas[tipoLocalizacao],MATCH(1,INDEX((RIGHT(B285,LEN(enderecos_escolas[cidade])+1)=" "&amp;enderecos_escolas[cidade])*(LEN(enderecos_escolas[cidade])=F285),0),0)),"—"))</f>
        <v/>
      </c>
      <c r="K285">
        <f>IF(C285="","",IF(AND(OR('Ranking Escolas'!$F$4="Todas",H285='Ranking Escolas'!$F$4),OR('Ranking Escolas'!$I$4="Todos",E285='Ranking Escolas'!$I$4)),C285+(1000-A285)/10000000,""))</f>
        <v/>
      </c>
      <c r="M285" t="n">
        <v>284</v>
      </c>
      <c r="N285">
        <f>IF(M285&gt;ROWS(avaliacoes_cursos[curso]),"",INDEX(avaliacoes_cursos[curso],M285))</f>
        <v/>
      </c>
      <c r="O285">
        <f>IF(N285="","",INDEX(avaliacoes_cursos[escola],M285))</f>
        <v/>
      </c>
      <c r="P285">
        <f>IF(N285="","",INDEX(avaliacoes_cursos[Nota média],M285))</f>
        <v/>
      </c>
      <c r="Q285">
        <f>IF(N285="","",IF(COUNTIF(avaliacoes_cursos[curso],N285)&gt;1,N285&amp;" — "&amp;O285,N285))</f>
        <v/>
      </c>
      <c r="R285">
        <f>IF(P285="","",P285+(1000-M285)/10000000)</f>
        <v/>
      </c>
    </row>
    <row r="286">
      <c r="A286" t="n">
        <v>285</v>
      </c>
      <c r="B286">
        <f>IF(A286&gt;ROWS(avaliacoes_qualidade[escola]),"",INDEX(avaliacoes_qualidade[escola],A286))</f>
        <v/>
      </c>
      <c r="C286">
        <f>IF(B286="","",INDEX(avaliacoes_qualidade[Nota média],A286))</f>
        <v/>
      </c>
      <c r="D286">
        <f>IF(B286="","",INDEX(avaliacoes_qualidade[Avaliações],A286))</f>
        <v/>
      </c>
      <c r="E286">
        <f>IF(B286="","",IFERROR(INDEX(escolas[Column1.tipo],MATCH(B286,escolas[Column1.nome],0)),"—"))</f>
        <v/>
      </c>
      <c r="F286">
        <f>IF(B286="","",SUMPRODUCT(MAX((RIGHT(B286,LEN(enderecos_escolas[cidade])+1)=" "&amp;enderecos_escolas[cidade])*LEN(enderecos_escolas[cidade]))))</f>
        <v/>
      </c>
      <c r="G286">
        <f>IF(B286="","",IFERROR(INDEX(enderecos_escolas[estado],MATCH(1,INDEX((RIGHT(B286,LEN(enderecos_escolas[cidade])+1)=" "&amp;enderecos_escolas[cidade])*(LEN(enderecos_escolas[cidade])=F286),0),0)),"—"))</f>
        <v/>
      </c>
      <c r="H286">
        <f>IF(B286="","",IFERROR(VLOOKUP(G286,'Parâmetros'!$A$5:$B$31,2,FALSE),"Não localizada"))</f>
        <v/>
      </c>
      <c r="I286">
        <f>IF(B286="","",IFERROR(INDEX(enderecos_escolas[tipoLocalizacao],MATCH(1,INDEX((RIGHT(B286,LEN(enderecos_escolas[cidade])+1)=" "&amp;enderecos_escolas[cidade])*(LEN(enderecos_escolas[cidade])=F286),0),0)),"—"))</f>
        <v/>
      </c>
      <c r="K286">
        <f>IF(C286="","",IF(AND(OR('Ranking Escolas'!$F$4="Todas",H286='Ranking Escolas'!$F$4),OR('Ranking Escolas'!$I$4="Todos",E286='Ranking Escolas'!$I$4)),C286+(1000-A286)/10000000,""))</f>
        <v/>
      </c>
      <c r="M286" t="n">
        <v>285</v>
      </c>
      <c r="N286">
        <f>IF(M286&gt;ROWS(avaliacoes_cursos[curso]),"",INDEX(avaliacoes_cursos[curso],M286))</f>
        <v/>
      </c>
      <c r="O286">
        <f>IF(N286="","",INDEX(avaliacoes_cursos[escola],M286))</f>
        <v/>
      </c>
      <c r="P286">
        <f>IF(N286="","",INDEX(avaliacoes_cursos[Nota média],M286))</f>
        <v/>
      </c>
      <c r="Q286">
        <f>IF(N286="","",IF(COUNTIF(avaliacoes_cursos[curso],N286)&gt;1,N286&amp;" — "&amp;O286,N286))</f>
        <v/>
      </c>
      <c r="R286">
        <f>IF(P286="","",P286+(1000-M286)/10000000)</f>
        <v/>
      </c>
    </row>
    <row r="287">
      <c r="A287" t="n">
        <v>286</v>
      </c>
      <c r="B287">
        <f>IF(A287&gt;ROWS(avaliacoes_qualidade[escola]),"",INDEX(avaliacoes_qualidade[escola],A287))</f>
        <v/>
      </c>
      <c r="C287">
        <f>IF(B287="","",INDEX(avaliacoes_qualidade[Nota média],A287))</f>
        <v/>
      </c>
      <c r="D287">
        <f>IF(B287="","",INDEX(avaliacoes_qualidade[Avaliações],A287))</f>
        <v/>
      </c>
      <c r="E287">
        <f>IF(B287="","",IFERROR(INDEX(escolas[Column1.tipo],MATCH(B287,escolas[Column1.nome],0)),"—"))</f>
        <v/>
      </c>
      <c r="F287">
        <f>IF(B287="","",SUMPRODUCT(MAX((RIGHT(B287,LEN(enderecos_escolas[cidade])+1)=" "&amp;enderecos_escolas[cidade])*LEN(enderecos_escolas[cidade]))))</f>
        <v/>
      </c>
      <c r="G287">
        <f>IF(B287="","",IFERROR(INDEX(enderecos_escolas[estado],MATCH(1,INDEX((RIGHT(B287,LEN(enderecos_escolas[cidade])+1)=" "&amp;enderecos_escolas[cidade])*(LEN(enderecos_escolas[cidade])=F287),0),0)),"—"))</f>
        <v/>
      </c>
      <c r="H287">
        <f>IF(B287="","",IFERROR(VLOOKUP(G287,'Parâmetros'!$A$5:$B$31,2,FALSE),"Não localizada"))</f>
        <v/>
      </c>
      <c r="I287">
        <f>IF(B287="","",IFERROR(INDEX(enderecos_escolas[tipoLocalizacao],MATCH(1,INDEX((RIGHT(B287,LEN(enderecos_escolas[cidade])+1)=" "&amp;enderecos_escolas[cidade])*(LEN(enderecos_escolas[cidade])=F287),0),0)),"—"))</f>
        <v/>
      </c>
      <c r="K287">
        <f>IF(C287="","",IF(AND(OR('Ranking Escolas'!$F$4="Todas",H287='Ranking Escolas'!$F$4),OR('Ranking Escolas'!$I$4="Todos",E287='Ranking Escolas'!$I$4)),C287+(1000-A287)/10000000,""))</f>
        <v/>
      </c>
      <c r="M287" t="n">
        <v>286</v>
      </c>
      <c r="N287">
        <f>IF(M287&gt;ROWS(avaliacoes_cursos[curso]),"",INDEX(avaliacoes_cursos[curso],M287))</f>
        <v/>
      </c>
      <c r="O287">
        <f>IF(N287="","",INDEX(avaliacoes_cursos[escola],M287))</f>
        <v/>
      </c>
      <c r="P287">
        <f>IF(N287="","",INDEX(avaliacoes_cursos[Nota média],M287))</f>
        <v/>
      </c>
      <c r="Q287">
        <f>IF(N287="","",IF(COUNTIF(avaliacoes_cursos[curso],N287)&gt;1,N287&amp;" — "&amp;O287,N287))</f>
        <v/>
      </c>
      <c r="R287">
        <f>IF(P287="","",P287+(1000-M287)/10000000)</f>
        <v/>
      </c>
    </row>
    <row r="288">
      <c r="A288" t="n">
        <v>287</v>
      </c>
      <c r="B288">
        <f>IF(A288&gt;ROWS(avaliacoes_qualidade[escola]),"",INDEX(avaliacoes_qualidade[escola],A288))</f>
        <v/>
      </c>
      <c r="C288">
        <f>IF(B288="","",INDEX(avaliacoes_qualidade[Nota média],A288))</f>
        <v/>
      </c>
      <c r="D288">
        <f>IF(B288="","",INDEX(avaliacoes_qualidade[Avaliações],A288))</f>
        <v/>
      </c>
      <c r="E288">
        <f>IF(B288="","",IFERROR(INDEX(escolas[Column1.tipo],MATCH(B288,escolas[Column1.nome],0)),"—"))</f>
        <v/>
      </c>
      <c r="F288">
        <f>IF(B288="","",SUMPRODUCT(MAX((RIGHT(B288,LEN(enderecos_escolas[cidade])+1)=" "&amp;enderecos_escolas[cidade])*LEN(enderecos_escolas[cidade]))))</f>
        <v/>
      </c>
      <c r="G288">
        <f>IF(B288="","",IFERROR(INDEX(enderecos_escolas[estado],MATCH(1,INDEX((RIGHT(B288,LEN(enderecos_escolas[cidade])+1)=" "&amp;enderecos_escolas[cidade])*(LEN(enderecos_escolas[cidade])=F288),0),0)),"—"))</f>
        <v/>
      </c>
      <c r="H288">
        <f>IF(B288="","",IFERROR(VLOOKUP(G288,'Parâmetros'!$A$5:$B$31,2,FALSE),"Não localizada"))</f>
        <v/>
      </c>
      <c r="I288">
        <f>IF(B288="","",IFERROR(INDEX(enderecos_escolas[tipoLocalizacao],MATCH(1,INDEX((RIGHT(B288,LEN(enderecos_escolas[cidade])+1)=" "&amp;enderecos_escolas[cidade])*(LEN(enderecos_escolas[cidade])=F288),0),0)),"—"))</f>
        <v/>
      </c>
      <c r="K288">
        <f>IF(C288="","",IF(AND(OR('Ranking Escolas'!$F$4="Todas",H288='Ranking Escolas'!$F$4),OR('Ranking Escolas'!$I$4="Todos",E288='Ranking Escolas'!$I$4)),C288+(1000-A288)/10000000,""))</f>
        <v/>
      </c>
      <c r="M288" t="n">
        <v>287</v>
      </c>
      <c r="N288">
        <f>IF(M288&gt;ROWS(avaliacoes_cursos[curso]),"",INDEX(avaliacoes_cursos[curso],M288))</f>
        <v/>
      </c>
      <c r="O288">
        <f>IF(N288="","",INDEX(avaliacoes_cursos[escola],M288))</f>
        <v/>
      </c>
      <c r="P288">
        <f>IF(N288="","",INDEX(avaliacoes_cursos[Nota média],M288))</f>
        <v/>
      </c>
      <c r="Q288">
        <f>IF(N288="","",IF(COUNTIF(avaliacoes_cursos[curso],N288)&gt;1,N288&amp;" — "&amp;O288,N288))</f>
        <v/>
      </c>
      <c r="R288">
        <f>IF(P288="","",P288+(1000-M288)/10000000)</f>
        <v/>
      </c>
    </row>
    <row r="289">
      <c r="A289" t="n">
        <v>288</v>
      </c>
      <c r="B289">
        <f>IF(A289&gt;ROWS(avaliacoes_qualidade[escola]),"",INDEX(avaliacoes_qualidade[escola],A289))</f>
        <v/>
      </c>
      <c r="C289">
        <f>IF(B289="","",INDEX(avaliacoes_qualidade[Nota média],A289))</f>
        <v/>
      </c>
      <c r="D289">
        <f>IF(B289="","",INDEX(avaliacoes_qualidade[Avaliações],A289))</f>
        <v/>
      </c>
      <c r="E289">
        <f>IF(B289="","",IFERROR(INDEX(escolas[Column1.tipo],MATCH(B289,escolas[Column1.nome],0)),"—"))</f>
        <v/>
      </c>
      <c r="F289">
        <f>IF(B289="","",SUMPRODUCT(MAX((RIGHT(B289,LEN(enderecos_escolas[cidade])+1)=" "&amp;enderecos_escolas[cidade])*LEN(enderecos_escolas[cidade]))))</f>
        <v/>
      </c>
      <c r="G289">
        <f>IF(B289="","",IFERROR(INDEX(enderecos_escolas[estado],MATCH(1,INDEX((RIGHT(B289,LEN(enderecos_escolas[cidade])+1)=" "&amp;enderecos_escolas[cidade])*(LEN(enderecos_escolas[cidade])=F289),0),0)),"—"))</f>
        <v/>
      </c>
      <c r="H289">
        <f>IF(B289="","",IFERROR(VLOOKUP(G289,'Parâmetros'!$A$5:$B$31,2,FALSE),"Não localizada"))</f>
        <v/>
      </c>
      <c r="I289">
        <f>IF(B289="","",IFERROR(INDEX(enderecos_escolas[tipoLocalizacao],MATCH(1,INDEX((RIGHT(B289,LEN(enderecos_escolas[cidade])+1)=" "&amp;enderecos_escolas[cidade])*(LEN(enderecos_escolas[cidade])=F289),0),0)),"—"))</f>
        <v/>
      </c>
      <c r="K289">
        <f>IF(C289="","",IF(AND(OR('Ranking Escolas'!$F$4="Todas",H289='Ranking Escolas'!$F$4),OR('Ranking Escolas'!$I$4="Todos",E289='Ranking Escolas'!$I$4)),C289+(1000-A289)/10000000,""))</f>
        <v/>
      </c>
      <c r="M289" t="n">
        <v>288</v>
      </c>
      <c r="N289">
        <f>IF(M289&gt;ROWS(avaliacoes_cursos[curso]),"",INDEX(avaliacoes_cursos[curso],M289))</f>
        <v/>
      </c>
      <c r="O289">
        <f>IF(N289="","",INDEX(avaliacoes_cursos[escola],M289))</f>
        <v/>
      </c>
      <c r="P289">
        <f>IF(N289="","",INDEX(avaliacoes_cursos[Nota média],M289))</f>
        <v/>
      </c>
      <c r="Q289">
        <f>IF(N289="","",IF(COUNTIF(avaliacoes_cursos[curso],N289)&gt;1,N289&amp;" — "&amp;O289,N289))</f>
        <v/>
      </c>
      <c r="R289">
        <f>IF(P289="","",P289+(1000-M289)/10000000)</f>
        <v/>
      </c>
    </row>
    <row r="290">
      <c r="A290" t="n">
        <v>289</v>
      </c>
      <c r="B290">
        <f>IF(A290&gt;ROWS(avaliacoes_qualidade[escola]),"",INDEX(avaliacoes_qualidade[escola],A290))</f>
        <v/>
      </c>
      <c r="C290">
        <f>IF(B290="","",INDEX(avaliacoes_qualidade[Nota média],A290))</f>
        <v/>
      </c>
      <c r="D290">
        <f>IF(B290="","",INDEX(avaliacoes_qualidade[Avaliações],A290))</f>
        <v/>
      </c>
      <c r="E290">
        <f>IF(B290="","",IFERROR(INDEX(escolas[Column1.tipo],MATCH(B290,escolas[Column1.nome],0)),"—"))</f>
        <v/>
      </c>
      <c r="F290">
        <f>IF(B290="","",SUMPRODUCT(MAX((RIGHT(B290,LEN(enderecos_escolas[cidade])+1)=" "&amp;enderecos_escolas[cidade])*LEN(enderecos_escolas[cidade]))))</f>
        <v/>
      </c>
      <c r="G290">
        <f>IF(B290="","",IFERROR(INDEX(enderecos_escolas[estado],MATCH(1,INDEX((RIGHT(B290,LEN(enderecos_escolas[cidade])+1)=" "&amp;enderecos_escolas[cidade])*(LEN(enderecos_escolas[cidade])=F290),0),0)),"—"))</f>
        <v/>
      </c>
      <c r="H290">
        <f>IF(B290="","",IFERROR(VLOOKUP(G290,'Parâmetros'!$A$5:$B$31,2,FALSE),"Não localizada"))</f>
        <v/>
      </c>
      <c r="I290">
        <f>IF(B290="","",IFERROR(INDEX(enderecos_escolas[tipoLocalizacao],MATCH(1,INDEX((RIGHT(B290,LEN(enderecos_escolas[cidade])+1)=" "&amp;enderecos_escolas[cidade])*(LEN(enderecos_escolas[cidade])=F290),0),0)),"—"))</f>
        <v/>
      </c>
      <c r="K290">
        <f>IF(C290="","",IF(AND(OR('Ranking Escolas'!$F$4="Todas",H290='Ranking Escolas'!$F$4),OR('Ranking Escolas'!$I$4="Todos",E290='Ranking Escolas'!$I$4)),C290+(1000-A290)/10000000,""))</f>
        <v/>
      </c>
      <c r="M290" t="n">
        <v>289</v>
      </c>
      <c r="N290">
        <f>IF(M290&gt;ROWS(avaliacoes_cursos[curso]),"",INDEX(avaliacoes_cursos[curso],M290))</f>
        <v/>
      </c>
      <c r="O290">
        <f>IF(N290="","",INDEX(avaliacoes_cursos[escola],M290))</f>
        <v/>
      </c>
      <c r="P290">
        <f>IF(N290="","",INDEX(avaliacoes_cursos[Nota média],M290))</f>
        <v/>
      </c>
      <c r="Q290">
        <f>IF(N290="","",IF(COUNTIF(avaliacoes_cursos[curso],N290)&gt;1,N290&amp;" — "&amp;O290,N290))</f>
        <v/>
      </c>
      <c r="R290">
        <f>IF(P290="","",P290+(1000-M290)/10000000)</f>
        <v/>
      </c>
    </row>
    <row r="291">
      <c r="A291" t="n">
        <v>290</v>
      </c>
      <c r="B291">
        <f>IF(A291&gt;ROWS(avaliacoes_qualidade[escola]),"",INDEX(avaliacoes_qualidade[escola],A291))</f>
        <v/>
      </c>
      <c r="C291">
        <f>IF(B291="","",INDEX(avaliacoes_qualidade[Nota média],A291))</f>
        <v/>
      </c>
      <c r="D291">
        <f>IF(B291="","",INDEX(avaliacoes_qualidade[Avaliações],A291))</f>
        <v/>
      </c>
      <c r="E291">
        <f>IF(B291="","",IFERROR(INDEX(escolas[Column1.tipo],MATCH(B291,escolas[Column1.nome],0)),"—"))</f>
        <v/>
      </c>
      <c r="F291">
        <f>IF(B291="","",SUMPRODUCT(MAX((RIGHT(B291,LEN(enderecos_escolas[cidade])+1)=" "&amp;enderecos_escolas[cidade])*LEN(enderecos_escolas[cidade]))))</f>
        <v/>
      </c>
      <c r="G291">
        <f>IF(B291="","",IFERROR(INDEX(enderecos_escolas[estado],MATCH(1,INDEX((RIGHT(B291,LEN(enderecos_escolas[cidade])+1)=" "&amp;enderecos_escolas[cidade])*(LEN(enderecos_escolas[cidade])=F291),0),0)),"—"))</f>
        <v/>
      </c>
      <c r="H291">
        <f>IF(B291="","",IFERROR(VLOOKUP(G291,'Parâmetros'!$A$5:$B$31,2,FALSE),"Não localizada"))</f>
        <v/>
      </c>
      <c r="I291">
        <f>IF(B291="","",IFERROR(INDEX(enderecos_escolas[tipoLocalizacao],MATCH(1,INDEX((RIGHT(B291,LEN(enderecos_escolas[cidade])+1)=" "&amp;enderecos_escolas[cidade])*(LEN(enderecos_escolas[cidade])=F291),0),0)),"—"))</f>
        <v/>
      </c>
      <c r="K291">
        <f>IF(C291="","",IF(AND(OR('Ranking Escolas'!$F$4="Todas",H291='Ranking Escolas'!$F$4),OR('Ranking Escolas'!$I$4="Todos",E291='Ranking Escolas'!$I$4)),C291+(1000-A291)/10000000,""))</f>
        <v/>
      </c>
      <c r="M291" t="n">
        <v>290</v>
      </c>
      <c r="N291">
        <f>IF(M291&gt;ROWS(avaliacoes_cursos[curso]),"",INDEX(avaliacoes_cursos[curso],M291))</f>
        <v/>
      </c>
      <c r="O291">
        <f>IF(N291="","",INDEX(avaliacoes_cursos[escola],M291))</f>
        <v/>
      </c>
      <c r="P291">
        <f>IF(N291="","",INDEX(avaliacoes_cursos[Nota média],M291))</f>
        <v/>
      </c>
      <c r="Q291">
        <f>IF(N291="","",IF(COUNTIF(avaliacoes_cursos[curso],N291)&gt;1,N291&amp;" — "&amp;O291,N291))</f>
        <v/>
      </c>
      <c r="R291">
        <f>IF(P291="","",P291+(1000-M291)/10000000)</f>
        <v/>
      </c>
    </row>
    <row r="292">
      <c r="A292" t="n">
        <v>291</v>
      </c>
      <c r="B292">
        <f>IF(A292&gt;ROWS(avaliacoes_qualidade[escola]),"",INDEX(avaliacoes_qualidade[escola],A292))</f>
        <v/>
      </c>
      <c r="C292">
        <f>IF(B292="","",INDEX(avaliacoes_qualidade[Nota média],A292))</f>
        <v/>
      </c>
      <c r="D292">
        <f>IF(B292="","",INDEX(avaliacoes_qualidade[Avaliações],A292))</f>
        <v/>
      </c>
      <c r="E292">
        <f>IF(B292="","",IFERROR(INDEX(escolas[Column1.tipo],MATCH(B292,escolas[Column1.nome],0)),"—"))</f>
        <v/>
      </c>
      <c r="F292">
        <f>IF(B292="","",SUMPRODUCT(MAX((RIGHT(B292,LEN(enderecos_escolas[cidade])+1)=" "&amp;enderecos_escolas[cidade])*LEN(enderecos_escolas[cidade]))))</f>
        <v/>
      </c>
      <c r="G292">
        <f>IF(B292="","",IFERROR(INDEX(enderecos_escolas[estado],MATCH(1,INDEX((RIGHT(B292,LEN(enderecos_escolas[cidade])+1)=" "&amp;enderecos_escolas[cidade])*(LEN(enderecos_escolas[cidade])=F292),0),0)),"—"))</f>
        <v/>
      </c>
      <c r="H292">
        <f>IF(B292="","",IFERROR(VLOOKUP(G292,'Parâmetros'!$A$5:$B$31,2,FALSE),"Não localizada"))</f>
        <v/>
      </c>
      <c r="I292">
        <f>IF(B292="","",IFERROR(INDEX(enderecos_escolas[tipoLocalizacao],MATCH(1,INDEX((RIGHT(B292,LEN(enderecos_escolas[cidade])+1)=" "&amp;enderecos_escolas[cidade])*(LEN(enderecos_escolas[cidade])=F292),0),0)),"—"))</f>
        <v/>
      </c>
      <c r="K292">
        <f>IF(C292="","",IF(AND(OR('Ranking Escolas'!$F$4="Todas",H292='Ranking Escolas'!$F$4),OR('Ranking Escolas'!$I$4="Todos",E292='Ranking Escolas'!$I$4)),C292+(1000-A292)/10000000,""))</f>
        <v/>
      </c>
      <c r="M292" t="n">
        <v>291</v>
      </c>
      <c r="N292">
        <f>IF(M292&gt;ROWS(avaliacoes_cursos[curso]),"",INDEX(avaliacoes_cursos[curso],M292))</f>
        <v/>
      </c>
      <c r="O292">
        <f>IF(N292="","",INDEX(avaliacoes_cursos[escola],M292))</f>
        <v/>
      </c>
      <c r="P292">
        <f>IF(N292="","",INDEX(avaliacoes_cursos[Nota média],M292))</f>
        <v/>
      </c>
      <c r="Q292">
        <f>IF(N292="","",IF(COUNTIF(avaliacoes_cursos[curso],N292)&gt;1,N292&amp;" — "&amp;O292,N292))</f>
        <v/>
      </c>
      <c r="R292">
        <f>IF(P292="","",P292+(1000-M292)/10000000)</f>
        <v/>
      </c>
    </row>
    <row r="293">
      <c r="A293" t="n">
        <v>292</v>
      </c>
      <c r="B293">
        <f>IF(A293&gt;ROWS(avaliacoes_qualidade[escola]),"",INDEX(avaliacoes_qualidade[escola],A293))</f>
        <v/>
      </c>
      <c r="C293">
        <f>IF(B293="","",INDEX(avaliacoes_qualidade[Nota média],A293))</f>
        <v/>
      </c>
      <c r="D293">
        <f>IF(B293="","",INDEX(avaliacoes_qualidade[Avaliações],A293))</f>
        <v/>
      </c>
      <c r="E293">
        <f>IF(B293="","",IFERROR(INDEX(escolas[Column1.tipo],MATCH(B293,escolas[Column1.nome],0)),"—"))</f>
        <v/>
      </c>
      <c r="F293">
        <f>IF(B293="","",SUMPRODUCT(MAX((RIGHT(B293,LEN(enderecos_escolas[cidade])+1)=" "&amp;enderecos_escolas[cidade])*LEN(enderecos_escolas[cidade]))))</f>
        <v/>
      </c>
      <c r="G293">
        <f>IF(B293="","",IFERROR(INDEX(enderecos_escolas[estado],MATCH(1,INDEX((RIGHT(B293,LEN(enderecos_escolas[cidade])+1)=" "&amp;enderecos_escolas[cidade])*(LEN(enderecos_escolas[cidade])=F293),0),0)),"—"))</f>
        <v/>
      </c>
      <c r="H293">
        <f>IF(B293="","",IFERROR(VLOOKUP(G293,'Parâmetros'!$A$5:$B$31,2,FALSE),"Não localizada"))</f>
        <v/>
      </c>
      <c r="I293">
        <f>IF(B293="","",IFERROR(INDEX(enderecos_escolas[tipoLocalizacao],MATCH(1,INDEX((RIGHT(B293,LEN(enderecos_escolas[cidade])+1)=" "&amp;enderecos_escolas[cidade])*(LEN(enderecos_escolas[cidade])=F293),0),0)),"—"))</f>
        <v/>
      </c>
      <c r="K293">
        <f>IF(C293="","",IF(AND(OR('Ranking Escolas'!$F$4="Todas",H293='Ranking Escolas'!$F$4),OR('Ranking Escolas'!$I$4="Todos",E293='Ranking Escolas'!$I$4)),C293+(1000-A293)/10000000,""))</f>
        <v/>
      </c>
      <c r="M293" t="n">
        <v>292</v>
      </c>
      <c r="N293">
        <f>IF(M293&gt;ROWS(avaliacoes_cursos[curso]),"",INDEX(avaliacoes_cursos[curso],M293))</f>
        <v/>
      </c>
      <c r="O293">
        <f>IF(N293="","",INDEX(avaliacoes_cursos[escola],M293))</f>
        <v/>
      </c>
      <c r="P293">
        <f>IF(N293="","",INDEX(avaliacoes_cursos[Nota média],M293))</f>
        <v/>
      </c>
      <c r="Q293">
        <f>IF(N293="","",IF(COUNTIF(avaliacoes_cursos[curso],N293)&gt;1,N293&amp;" — "&amp;O293,N293))</f>
        <v/>
      </c>
      <c r="R293">
        <f>IF(P293="","",P293+(1000-M293)/10000000)</f>
        <v/>
      </c>
    </row>
    <row r="294">
      <c r="A294" t="n">
        <v>293</v>
      </c>
      <c r="B294">
        <f>IF(A294&gt;ROWS(avaliacoes_qualidade[escola]),"",INDEX(avaliacoes_qualidade[escola],A294))</f>
        <v/>
      </c>
      <c r="C294">
        <f>IF(B294="","",INDEX(avaliacoes_qualidade[Nota média],A294))</f>
        <v/>
      </c>
      <c r="D294">
        <f>IF(B294="","",INDEX(avaliacoes_qualidade[Avaliações],A294))</f>
        <v/>
      </c>
      <c r="E294">
        <f>IF(B294="","",IFERROR(INDEX(escolas[Column1.tipo],MATCH(B294,escolas[Column1.nome],0)),"—"))</f>
        <v/>
      </c>
      <c r="F294">
        <f>IF(B294="","",SUMPRODUCT(MAX((RIGHT(B294,LEN(enderecos_escolas[cidade])+1)=" "&amp;enderecos_escolas[cidade])*LEN(enderecos_escolas[cidade]))))</f>
        <v/>
      </c>
      <c r="G294">
        <f>IF(B294="","",IFERROR(INDEX(enderecos_escolas[estado],MATCH(1,INDEX((RIGHT(B294,LEN(enderecos_escolas[cidade])+1)=" "&amp;enderecos_escolas[cidade])*(LEN(enderecos_escolas[cidade])=F294),0),0)),"—"))</f>
        <v/>
      </c>
      <c r="H294">
        <f>IF(B294="","",IFERROR(VLOOKUP(G294,'Parâmetros'!$A$5:$B$31,2,FALSE),"Não localizada"))</f>
        <v/>
      </c>
      <c r="I294">
        <f>IF(B294="","",IFERROR(INDEX(enderecos_escolas[tipoLocalizacao],MATCH(1,INDEX((RIGHT(B294,LEN(enderecos_escolas[cidade])+1)=" "&amp;enderecos_escolas[cidade])*(LEN(enderecos_escolas[cidade])=F294),0),0)),"—"))</f>
        <v/>
      </c>
      <c r="K294">
        <f>IF(C294="","",IF(AND(OR('Ranking Escolas'!$F$4="Todas",H294='Ranking Escolas'!$F$4),OR('Ranking Escolas'!$I$4="Todos",E294='Ranking Escolas'!$I$4)),C294+(1000-A294)/10000000,""))</f>
        <v/>
      </c>
      <c r="M294" t="n">
        <v>293</v>
      </c>
      <c r="N294">
        <f>IF(M294&gt;ROWS(avaliacoes_cursos[curso]),"",INDEX(avaliacoes_cursos[curso],M294))</f>
        <v/>
      </c>
      <c r="O294">
        <f>IF(N294="","",INDEX(avaliacoes_cursos[escola],M294))</f>
        <v/>
      </c>
      <c r="P294">
        <f>IF(N294="","",INDEX(avaliacoes_cursos[Nota média],M294))</f>
        <v/>
      </c>
      <c r="Q294">
        <f>IF(N294="","",IF(COUNTIF(avaliacoes_cursos[curso],N294)&gt;1,N294&amp;" — "&amp;O294,N294))</f>
        <v/>
      </c>
      <c r="R294">
        <f>IF(P294="","",P294+(1000-M294)/10000000)</f>
        <v/>
      </c>
    </row>
    <row r="295">
      <c r="A295" t="n">
        <v>294</v>
      </c>
      <c r="B295">
        <f>IF(A295&gt;ROWS(avaliacoes_qualidade[escola]),"",INDEX(avaliacoes_qualidade[escola],A295))</f>
        <v/>
      </c>
      <c r="C295">
        <f>IF(B295="","",INDEX(avaliacoes_qualidade[Nota média],A295))</f>
        <v/>
      </c>
      <c r="D295">
        <f>IF(B295="","",INDEX(avaliacoes_qualidade[Avaliações],A295))</f>
        <v/>
      </c>
      <c r="E295">
        <f>IF(B295="","",IFERROR(INDEX(escolas[Column1.tipo],MATCH(B295,escolas[Column1.nome],0)),"—"))</f>
        <v/>
      </c>
      <c r="F295">
        <f>IF(B295="","",SUMPRODUCT(MAX((RIGHT(B295,LEN(enderecos_escolas[cidade])+1)=" "&amp;enderecos_escolas[cidade])*LEN(enderecos_escolas[cidade]))))</f>
        <v/>
      </c>
      <c r="G295">
        <f>IF(B295="","",IFERROR(INDEX(enderecos_escolas[estado],MATCH(1,INDEX((RIGHT(B295,LEN(enderecos_escolas[cidade])+1)=" "&amp;enderecos_escolas[cidade])*(LEN(enderecos_escolas[cidade])=F295),0),0)),"—"))</f>
        <v/>
      </c>
      <c r="H295">
        <f>IF(B295="","",IFERROR(VLOOKUP(G295,'Parâmetros'!$A$5:$B$31,2,FALSE),"Não localizada"))</f>
        <v/>
      </c>
      <c r="I295">
        <f>IF(B295="","",IFERROR(INDEX(enderecos_escolas[tipoLocalizacao],MATCH(1,INDEX((RIGHT(B295,LEN(enderecos_escolas[cidade])+1)=" "&amp;enderecos_escolas[cidade])*(LEN(enderecos_escolas[cidade])=F295),0),0)),"—"))</f>
        <v/>
      </c>
      <c r="K295">
        <f>IF(C295="","",IF(AND(OR('Ranking Escolas'!$F$4="Todas",H295='Ranking Escolas'!$F$4),OR('Ranking Escolas'!$I$4="Todos",E295='Ranking Escolas'!$I$4)),C295+(1000-A295)/10000000,""))</f>
        <v/>
      </c>
      <c r="M295" t="n">
        <v>294</v>
      </c>
      <c r="N295">
        <f>IF(M295&gt;ROWS(avaliacoes_cursos[curso]),"",INDEX(avaliacoes_cursos[curso],M295))</f>
        <v/>
      </c>
      <c r="O295">
        <f>IF(N295="","",INDEX(avaliacoes_cursos[escola],M295))</f>
        <v/>
      </c>
      <c r="P295">
        <f>IF(N295="","",INDEX(avaliacoes_cursos[Nota média],M295))</f>
        <v/>
      </c>
      <c r="Q295">
        <f>IF(N295="","",IF(COUNTIF(avaliacoes_cursos[curso],N295)&gt;1,N295&amp;" — "&amp;O295,N295))</f>
        <v/>
      </c>
      <c r="R295">
        <f>IF(P295="","",P295+(1000-M295)/10000000)</f>
        <v/>
      </c>
    </row>
    <row r="296">
      <c r="A296" t="n">
        <v>295</v>
      </c>
      <c r="B296">
        <f>IF(A296&gt;ROWS(avaliacoes_qualidade[escola]),"",INDEX(avaliacoes_qualidade[escola],A296))</f>
        <v/>
      </c>
      <c r="C296">
        <f>IF(B296="","",INDEX(avaliacoes_qualidade[Nota média],A296))</f>
        <v/>
      </c>
      <c r="D296">
        <f>IF(B296="","",INDEX(avaliacoes_qualidade[Avaliações],A296))</f>
        <v/>
      </c>
      <c r="E296">
        <f>IF(B296="","",IFERROR(INDEX(escolas[Column1.tipo],MATCH(B296,escolas[Column1.nome],0)),"—"))</f>
        <v/>
      </c>
      <c r="F296">
        <f>IF(B296="","",SUMPRODUCT(MAX((RIGHT(B296,LEN(enderecos_escolas[cidade])+1)=" "&amp;enderecos_escolas[cidade])*LEN(enderecos_escolas[cidade]))))</f>
        <v/>
      </c>
      <c r="G296">
        <f>IF(B296="","",IFERROR(INDEX(enderecos_escolas[estado],MATCH(1,INDEX((RIGHT(B296,LEN(enderecos_escolas[cidade])+1)=" "&amp;enderecos_escolas[cidade])*(LEN(enderecos_escolas[cidade])=F296),0),0)),"—"))</f>
        <v/>
      </c>
      <c r="H296">
        <f>IF(B296="","",IFERROR(VLOOKUP(G296,'Parâmetros'!$A$5:$B$31,2,FALSE),"Não localizada"))</f>
        <v/>
      </c>
      <c r="I296">
        <f>IF(B296="","",IFERROR(INDEX(enderecos_escolas[tipoLocalizacao],MATCH(1,INDEX((RIGHT(B296,LEN(enderecos_escolas[cidade])+1)=" "&amp;enderecos_escolas[cidade])*(LEN(enderecos_escolas[cidade])=F296),0),0)),"—"))</f>
        <v/>
      </c>
      <c r="K296">
        <f>IF(C296="","",IF(AND(OR('Ranking Escolas'!$F$4="Todas",H296='Ranking Escolas'!$F$4),OR('Ranking Escolas'!$I$4="Todos",E296='Ranking Escolas'!$I$4)),C296+(1000-A296)/10000000,""))</f>
        <v/>
      </c>
      <c r="M296" t="n">
        <v>295</v>
      </c>
      <c r="N296">
        <f>IF(M296&gt;ROWS(avaliacoes_cursos[curso]),"",INDEX(avaliacoes_cursos[curso],M296))</f>
        <v/>
      </c>
      <c r="O296">
        <f>IF(N296="","",INDEX(avaliacoes_cursos[escola],M296))</f>
        <v/>
      </c>
      <c r="P296">
        <f>IF(N296="","",INDEX(avaliacoes_cursos[Nota média],M296))</f>
        <v/>
      </c>
      <c r="Q296">
        <f>IF(N296="","",IF(COUNTIF(avaliacoes_cursos[curso],N296)&gt;1,N296&amp;" — "&amp;O296,N296))</f>
        <v/>
      </c>
      <c r="R296">
        <f>IF(P296="","",P296+(1000-M296)/10000000)</f>
        <v/>
      </c>
    </row>
    <row r="297">
      <c r="A297" t="n">
        <v>296</v>
      </c>
      <c r="B297">
        <f>IF(A297&gt;ROWS(avaliacoes_qualidade[escola]),"",INDEX(avaliacoes_qualidade[escola],A297))</f>
        <v/>
      </c>
      <c r="C297">
        <f>IF(B297="","",INDEX(avaliacoes_qualidade[Nota média],A297))</f>
        <v/>
      </c>
      <c r="D297">
        <f>IF(B297="","",INDEX(avaliacoes_qualidade[Avaliações],A297))</f>
        <v/>
      </c>
      <c r="E297">
        <f>IF(B297="","",IFERROR(INDEX(escolas[Column1.tipo],MATCH(B297,escolas[Column1.nome],0)),"—"))</f>
        <v/>
      </c>
      <c r="F297">
        <f>IF(B297="","",SUMPRODUCT(MAX((RIGHT(B297,LEN(enderecos_escolas[cidade])+1)=" "&amp;enderecos_escolas[cidade])*LEN(enderecos_escolas[cidade]))))</f>
        <v/>
      </c>
      <c r="G297">
        <f>IF(B297="","",IFERROR(INDEX(enderecos_escolas[estado],MATCH(1,INDEX((RIGHT(B297,LEN(enderecos_escolas[cidade])+1)=" "&amp;enderecos_escolas[cidade])*(LEN(enderecos_escolas[cidade])=F297),0),0)),"—"))</f>
        <v/>
      </c>
      <c r="H297">
        <f>IF(B297="","",IFERROR(VLOOKUP(G297,'Parâmetros'!$A$5:$B$31,2,FALSE),"Não localizada"))</f>
        <v/>
      </c>
      <c r="I297">
        <f>IF(B297="","",IFERROR(INDEX(enderecos_escolas[tipoLocalizacao],MATCH(1,INDEX((RIGHT(B297,LEN(enderecos_escolas[cidade])+1)=" "&amp;enderecos_escolas[cidade])*(LEN(enderecos_escolas[cidade])=F297),0),0)),"—"))</f>
        <v/>
      </c>
      <c r="K297">
        <f>IF(C297="","",IF(AND(OR('Ranking Escolas'!$F$4="Todas",H297='Ranking Escolas'!$F$4),OR('Ranking Escolas'!$I$4="Todos",E297='Ranking Escolas'!$I$4)),C297+(1000-A297)/10000000,""))</f>
        <v/>
      </c>
      <c r="M297" t="n">
        <v>296</v>
      </c>
      <c r="N297">
        <f>IF(M297&gt;ROWS(avaliacoes_cursos[curso]),"",INDEX(avaliacoes_cursos[curso],M297))</f>
        <v/>
      </c>
      <c r="O297">
        <f>IF(N297="","",INDEX(avaliacoes_cursos[escola],M297))</f>
        <v/>
      </c>
      <c r="P297">
        <f>IF(N297="","",INDEX(avaliacoes_cursos[Nota média],M297))</f>
        <v/>
      </c>
      <c r="Q297">
        <f>IF(N297="","",IF(COUNTIF(avaliacoes_cursos[curso],N297)&gt;1,N297&amp;" — "&amp;O297,N297))</f>
        <v/>
      </c>
      <c r="R297">
        <f>IF(P297="","",P297+(1000-M297)/10000000)</f>
        <v/>
      </c>
    </row>
    <row r="298">
      <c r="A298" t="n">
        <v>297</v>
      </c>
      <c r="B298">
        <f>IF(A298&gt;ROWS(avaliacoes_qualidade[escola]),"",INDEX(avaliacoes_qualidade[escola],A298))</f>
        <v/>
      </c>
      <c r="C298">
        <f>IF(B298="","",INDEX(avaliacoes_qualidade[Nota média],A298))</f>
        <v/>
      </c>
      <c r="D298">
        <f>IF(B298="","",INDEX(avaliacoes_qualidade[Avaliações],A298))</f>
        <v/>
      </c>
      <c r="E298">
        <f>IF(B298="","",IFERROR(INDEX(escolas[Column1.tipo],MATCH(B298,escolas[Column1.nome],0)),"—"))</f>
        <v/>
      </c>
      <c r="F298">
        <f>IF(B298="","",SUMPRODUCT(MAX((RIGHT(B298,LEN(enderecos_escolas[cidade])+1)=" "&amp;enderecos_escolas[cidade])*LEN(enderecos_escolas[cidade]))))</f>
        <v/>
      </c>
      <c r="G298">
        <f>IF(B298="","",IFERROR(INDEX(enderecos_escolas[estado],MATCH(1,INDEX((RIGHT(B298,LEN(enderecos_escolas[cidade])+1)=" "&amp;enderecos_escolas[cidade])*(LEN(enderecos_escolas[cidade])=F298),0),0)),"—"))</f>
        <v/>
      </c>
      <c r="H298">
        <f>IF(B298="","",IFERROR(VLOOKUP(G298,'Parâmetros'!$A$5:$B$31,2,FALSE),"Não localizada"))</f>
        <v/>
      </c>
      <c r="I298">
        <f>IF(B298="","",IFERROR(INDEX(enderecos_escolas[tipoLocalizacao],MATCH(1,INDEX((RIGHT(B298,LEN(enderecos_escolas[cidade])+1)=" "&amp;enderecos_escolas[cidade])*(LEN(enderecos_escolas[cidade])=F298),0),0)),"—"))</f>
        <v/>
      </c>
      <c r="K298">
        <f>IF(C298="","",IF(AND(OR('Ranking Escolas'!$F$4="Todas",H298='Ranking Escolas'!$F$4),OR('Ranking Escolas'!$I$4="Todos",E298='Ranking Escolas'!$I$4)),C298+(1000-A298)/10000000,""))</f>
        <v/>
      </c>
      <c r="M298" t="n">
        <v>297</v>
      </c>
      <c r="N298">
        <f>IF(M298&gt;ROWS(avaliacoes_cursos[curso]),"",INDEX(avaliacoes_cursos[curso],M298))</f>
        <v/>
      </c>
      <c r="O298">
        <f>IF(N298="","",INDEX(avaliacoes_cursos[escola],M298))</f>
        <v/>
      </c>
      <c r="P298">
        <f>IF(N298="","",INDEX(avaliacoes_cursos[Nota média],M298))</f>
        <v/>
      </c>
      <c r="Q298">
        <f>IF(N298="","",IF(COUNTIF(avaliacoes_cursos[curso],N298)&gt;1,N298&amp;" — "&amp;O298,N298))</f>
        <v/>
      </c>
      <c r="R298">
        <f>IF(P298="","",P298+(1000-M298)/10000000)</f>
        <v/>
      </c>
    </row>
    <row r="299">
      <c r="A299" t="n">
        <v>298</v>
      </c>
      <c r="B299">
        <f>IF(A299&gt;ROWS(avaliacoes_qualidade[escola]),"",INDEX(avaliacoes_qualidade[escola],A299))</f>
        <v/>
      </c>
      <c r="C299">
        <f>IF(B299="","",INDEX(avaliacoes_qualidade[Nota média],A299))</f>
        <v/>
      </c>
      <c r="D299">
        <f>IF(B299="","",INDEX(avaliacoes_qualidade[Avaliações],A299))</f>
        <v/>
      </c>
      <c r="E299">
        <f>IF(B299="","",IFERROR(INDEX(escolas[Column1.tipo],MATCH(B299,escolas[Column1.nome],0)),"—"))</f>
        <v/>
      </c>
      <c r="F299">
        <f>IF(B299="","",SUMPRODUCT(MAX((RIGHT(B299,LEN(enderecos_escolas[cidade])+1)=" "&amp;enderecos_escolas[cidade])*LEN(enderecos_escolas[cidade]))))</f>
        <v/>
      </c>
      <c r="G299">
        <f>IF(B299="","",IFERROR(INDEX(enderecos_escolas[estado],MATCH(1,INDEX((RIGHT(B299,LEN(enderecos_escolas[cidade])+1)=" "&amp;enderecos_escolas[cidade])*(LEN(enderecos_escolas[cidade])=F299),0),0)),"—"))</f>
        <v/>
      </c>
      <c r="H299">
        <f>IF(B299="","",IFERROR(VLOOKUP(G299,'Parâmetros'!$A$5:$B$31,2,FALSE),"Não localizada"))</f>
        <v/>
      </c>
      <c r="I299">
        <f>IF(B299="","",IFERROR(INDEX(enderecos_escolas[tipoLocalizacao],MATCH(1,INDEX((RIGHT(B299,LEN(enderecos_escolas[cidade])+1)=" "&amp;enderecos_escolas[cidade])*(LEN(enderecos_escolas[cidade])=F299),0),0)),"—"))</f>
        <v/>
      </c>
      <c r="K299">
        <f>IF(C299="","",IF(AND(OR('Ranking Escolas'!$F$4="Todas",H299='Ranking Escolas'!$F$4),OR('Ranking Escolas'!$I$4="Todos",E299='Ranking Escolas'!$I$4)),C299+(1000-A299)/10000000,""))</f>
        <v/>
      </c>
      <c r="M299" t="n">
        <v>298</v>
      </c>
      <c r="N299">
        <f>IF(M299&gt;ROWS(avaliacoes_cursos[curso]),"",INDEX(avaliacoes_cursos[curso],M299))</f>
        <v/>
      </c>
      <c r="O299">
        <f>IF(N299="","",INDEX(avaliacoes_cursos[escola],M299))</f>
        <v/>
      </c>
      <c r="P299">
        <f>IF(N299="","",INDEX(avaliacoes_cursos[Nota média],M299))</f>
        <v/>
      </c>
      <c r="Q299">
        <f>IF(N299="","",IF(COUNTIF(avaliacoes_cursos[curso],N299)&gt;1,N299&amp;" — "&amp;O299,N299))</f>
        <v/>
      </c>
      <c r="R299">
        <f>IF(P299="","",P299+(1000-M299)/10000000)</f>
        <v/>
      </c>
    </row>
    <row r="300">
      <c r="A300" t="n">
        <v>299</v>
      </c>
      <c r="B300">
        <f>IF(A300&gt;ROWS(avaliacoes_qualidade[escola]),"",INDEX(avaliacoes_qualidade[escola],A300))</f>
        <v/>
      </c>
      <c r="C300">
        <f>IF(B300="","",INDEX(avaliacoes_qualidade[Nota média],A300))</f>
        <v/>
      </c>
      <c r="D300">
        <f>IF(B300="","",INDEX(avaliacoes_qualidade[Avaliações],A300))</f>
        <v/>
      </c>
      <c r="E300">
        <f>IF(B300="","",IFERROR(INDEX(escolas[Column1.tipo],MATCH(B300,escolas[Column1.nome],0)),"—"))</f>
        <v/>
      </c>
      <c r="F300">
        <f>IF(B300="","",SUMPRODUCT(MAX((RIGHT(B300,LEN(enderecos_escolas[cidade])+1)=" "&amp;enderecos_escolas[cidade])*LEN(enderecos_escolas[cidade]))))</f>
        <v/>
      </c>
      <c r="G300">
        <f>IF(B300="","",IFERROR(INDEX(enderecos_escolas[estado],MATCH(1,INDEX((RIGHT(B300,LEN(enderecos_escolas[cidade])+1)=" "&amp;enderecos_escolas[cidade])*(LEN(enderecos_escolas[cidade])=F300),0),0)),"—"))</f>
        <v/>
      </c>
      <c r="H300">
        <f>IF(B300="","",IFERROR(VLOOKUP(G300,'Parâmetros'!$A$5:$B$31,2,FALSE),"Não localizada"))</f>
        <v/>
      </c>
      <c r="I300">
        <f>IF(B300="","",IFERROR(INDEX(enderecos_escolas[tipoLocalizacao],MATCH(1,INDEX((RIGHT(B300,LEN(enderecos_escolas[cidade])+1)=" "&amp;enderecos_escolas[cidade])*(LEN(enderecos_escolas[cidade])=F300),0),0)),"—"))</f>
        <v/>
      </c>
      <c r="K300">
        <f>IF(C300="","",IF(AND(OR('Ranking Escolas'!$F$4="Todas",H300='Ranking Escolas'!$F$4),OR('Ranking Escolas'!$I$4="Todos",E300='Ranking Escolas'!$I$4)),C300+(1000-A300)/10000000,""))</f>
        <v/>
      </c>
      <c r="M300" t="n">
        <v>299</v>
      </c>
      <c r="N300">
        <f>IF(M300&gt;ROWS(avaliacoes_cursos[curso]),"",INDEX(avaliacoes_cursos[curso],M300))</f>
        <v/>
      </c>
      <c r="O300">
        <f>IF(N300="","",INDEX(avaliacoes_cursos[escola],M300))</f>
        <v/>
      </c>
      <c r="P300">
        <f>IF(N300="","",INDEX(avaliacoes_cursos[Nota média],M300))</f>
        <v/>
      </c>
      <c r="Q300">
        <f>IF(N300="","",IF(COUNTIF(avaliacoes_cursos[curso],N300)&gt;1,N300&amp;" — "&amp;O300,N300))</f>
        <v/>
      </c>
      <c r="R300">
        <f>IF(P300="","",P300+(1000-M300)/10000000)</f>
        <v/>
      </c>
    </row>
    <row r="301">
      <c r="A301" t="n">
        <v>300</v>
      </c>
      <c r="B301">
        <f>IF(A301&gt;ROWS(avaliacoes_qualidade[escola]),"",INDEX(avaliacoes_qualidade[escola],A301))</f>
        <v/>
      </c>
      <c r="C301">
        <f>IF(B301="","",INDEX(avaliacoes_qualidade[Nota média],A301))</f>
        <v/>
      </c>
      <c r="D301">
        <f>IF(B301="","",INDEX(avaliacoes_qualidade[Avaliações],A301))</f>
        <v/>
      </c>
      <c r="E301">
        <f>IF(B301="","",IFERROR(INDEX(escolas[Column1.tipo],MATCH(B301,escolas[Column1.nome],0)),"—"))</f>
        <v/>
      </c>
      <c r="F301">
        <f>IF(B301="","",SUMPRODUCT(MAX((RIGHT(B301,LEN(enderecos_escolas[cidade])+1)=" "&amp;enderecos_escolas[cidade])*LEN(enderecos_escolas[cidade]))))</f>
        <v/>
      </c>
      <c r="G301">
        <f>IF(B301="","",IFERROR(INDEX(enderecos_escolas[estado],MATCH(1,INDEX((RIGHT(B301,LEN(enderecos_escolas[cidade])+1)=" "&amp;enderecos_escolas[cidade])*(LEN(enderecos_escolas[cidade])=F301),0),0)),"—"))</f>
        <v/>
      </c>
      <c r="H301">
        <f>IF(B301="","",IFERROR(VLOOKUP(G301,'Parâmetros'!$A$5:$B$31,2,FALSE),"Não localizada"))</f>
        <v/>
      </c>
      <c r="I301">
        <f>IF(B301="","",IFERROR(INDEX(enderecos_escolas[tipoLocalizacao],MATCH(1,INDEX((RIGHT(B301,LEN(enderecos_escolas[cidade])+1)=" "&amp;enderecos_escolas[cidade])*(LEN(enderecos_escolas[cidade])=F301),0),0)),"—"))</f>
        <v/>
      </c>
      <c r="K301">
        <f>IF(C301="","",IF(AND(OR('Ranking Escolas'!$F$4="Todas",H301='Ranking Escolas'!$F$4),OR('Ranking Escolas'!$I$4="Todos",E301='Ranking Escolas'!$I$4)),C301+(1000-A301)/10000000,""))</f>
        <v/>
      </c>
      <c r="M301" t="n">
        <v>300</v>
      </c>
      <c r="N301">
        <f>IF(M301&gt;ROWS(avaliacoes_cursos[curso]),"",INDEX(avaliacoes_cursos[curso],M301))</f>
        <v/>
      </c>
      <c r="O301">
        <f>IF(N301="","",INDEX(avaliacoes_cursos[escola],M301))</f>
        <v/>
      </c>
      <c r="P301">
        <f>IF(N301="","",INDEX(avaliacoes_cursos[Nota média],M301))</f>
        <v/>
      </c>
      <c r="Q301">
        <f>IF(N301="","",IF(COUNTIF(avaliacoes_cursos[curso],N301)&gt;1,N301&amp;" — "&amp;O301,N301))</f>
        <v/>
      </c>
      <c r="R301">
        <f>IF(P301="","",P301+(1000-M301)/10000000)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H40"/>
  <sheetViews>
    <sheetView showGridLines="0" tabSelected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" customWidth="1" min="3" max="3"/>
    <col width="50" customWidth="1" min="4" max="4"/>
    <col width="12" customWidth="1" min="5" max="5"/>
  </cols>
  <sheetData>
    <row r="1" ht="22" customHeight="1">
      <c r="A1" s="2" t="inlineStr">
        <is>
          <t>4</t>
        </is>
      </c>
      <c r="B1" s="3" t="inlineStr">
        <is>
          <t>ODS 4 · Educação de Qualidade · Recode — Avaliação Escolas</t>
        </is>
      </c>
      <c r="C1" s="4" t="n"/>
      <c r="D1" s="4" t="n"/>
      <c r="E1" s="4" t="n"/>
      <c r="F1" s="1" t="n"/>
      <c r="G1" s="1" t="n"/>
      <c r="H1" s="1" t="n"/>
    </row>
    <row r="2" ht="42" customHeight="1">
      <c r="B2" s="5" t="inlineStr">
        <is>
          <t>Parâmetros</t>
        </is>
      </c>
      <c r="C2" s="4" t="n"/>
      <c r="D2" s="4" t="n"/>
      <c r="E2" s="4" t="n"/>
      <c r="F2" s="1" t="n"/>
      <c r="G2" s="1" t="n"/>
      <c r="H2" s="1" t="n"/>
    </row>
    <row r="3" ht="24" customHeight="1">
      <c r="B3" s="6" t="inlineStr">
        <is>
          <t>Faixas de nota e mapa UF → região. Altere as células em azul claro e tudo se recalcula.</t>
        </is>
      </c>
      <c r="C3" s="4" t="n"/>
      <c r="D3" s="4" t="n"/>
      <c r="E3" s="4" t="n"/>
      <c r="F3" s="1" t="n"/>
      <c r="G3" s="1" t="n"/>
      <c r="H3" s="1" t="n"/>
    </row>
    <row r="4">
      <c r="A4" s="20" t="inlineStr">
        <is>
          <t>UF</t>
        </is>
      </c>
      <c r="B4" s="20" t="inlineStr">
        <is>
          <t>Região</t>
        </is>
      </c>
      <c r="C4" s="1" t="n"/>
      <c r="D4" s="20" t="inlineStr">
        <is>
          <t>Parâmetro</t>
        </is>
      </c>
      <c r="E4" s="20" t="inlineStr">
        <is>
          <t>Valor</t>
        </is>
      </c>
      <c r="F4" s="1" t="n"/>
      <c r="G4" s="1" t="n"/>
      <c r="H4" s="1" t="n"/>
    </row>
    <row r="5">
      <c r="A5" s="23" t="inlineStr">
        <is>
          <t>AC</t>
        </is>
      </c>
      <c r="B5" s="23" t="inlineStr">
        <is>
          <t>Norte</t>
        </is>
      </c>
      <c r="C5" s="1" t="n"/>
      <c r="D5" s="23" t="inlineStr">
        <is>
          <t>Qualidade (1–5): nota BOA a partir de</t>
        </is>
      </c>
      <c r="E5" s="34" t="n">
        <v>4</v>
      </c>
      <c r="F5" s="1" t="n"/>
      <c r="G5" s="1" t="n"/>
      <c r="H5" s="1" t="n"/>
    </row>
    <row r="6">
      <c r="A6" s="23" t="inlineStr">
        <is>
          <t>AP</t>
        </is>
      </c>
      <c r="B6" s="23" t="inlineStr">
        <is>
          <t>Norte</t>
        </is>
      </c>
      <c r="C6" s="1" t="n"/>
      <c r="D6" s="23" t="inlineStr">
        <is>
          <t>Qualidade (1–5): ATENÇÃO a partir de</t>
        </is>
      </c>
      <c r="E6" s="34" t="n">
        <v>2.5</v>
      </c>
      <c r="F6" s="1" t="n"/>
      <c r="G6" s="1" t="n"/>
      <c r="H6" s="1" t="n"/>
    </row>
    <row r="7">
      <c r="A7" s="23" t="inlineStr">
        <is>
          <t>AM</t>
        </is>
      </c>
      <c r="B7" s="23" t="inlineStr">
        <is>
          <t>Norte</t>
        </is>
      </c>
      <c r="C7" s="1" t="n"/>
      <c r="D7" s="23" t="inlineStr">
        <is>
          <t>Cursos (0–10): nota BOA a partir de</t>
        </is>
      </c>
      <c r="E7" s="34" t="n">
        <v>8</v>
      </c>
      <c r="F7" s="1" t="n"/>
      <c r="G7" s="1" t="n"/>
      <c r="H7" s="1" t="n"/>
    </row>
    <row r="8">
      <c r="A8" s="23" t="inlineStr">
        <is>
          <t>PA</t>
        </is>
      </c>
      <c r="B8" s="23" t="inlineStr">
        <is>
          <t>Norte</t>
        </is>
      </c>
      <c r="C8" s="1" t="n"/>
      <c r="D8" s="23" t="inlineStr">
        <is>
          <t>Cursos (0–10): ATENÇÃO a partir de</t>
        </is>
      </c>
      <c r="E8" s="34" t="n">
        <v>5</v>
      </c>
      <c r="F8" s="1" t="n"/>
      <c r="G8" s="1" t="n"/>
      <c r="H8" s="1" t="n"/>
    </row>
    <row r="9">
      <c r="A9" s="23" t="inlineStr">
        <is>
          <t>RO</t>
        </is>
      </c>
      <c r="B9" s="23" t="inlineStr">
        <is>
          <t>Norte</t>
        </is>
      </c>
      <c r="C9" s="1" t="n"/>
      <c r="D9" s="23" t="inlineStr">
        <is>
          <t>Amostra mínima por região (escolas avaliadas)</t>
        </is>
      </c>
      <c r="E9" s="34" t="n">
        <v>3</v>
      </c>
      <c r="F9" s="1" t="n"/>
      <c r="G9" s="1" t="n"/>
      <c r="H9" s="1" t="n"/>
    </row>
    <row r="10">
      <c r="A10" s="23" t="inlineStr">
        <is>
          <t>RR</t>
        </is>
      </c>
      <c r="B10" s="23" t="inlineStr">
        <is>
          <t>Norte</t>
        </is>
      </c>
      <c r="C10" s="1" t="n"/>
      <c r="D10" s="1" t="n"/>
      <c r="E10" s="1" t="n"/>
      <c r="F10" s="1" t="n"/>
      <c r="G10" s="1" t="n"/>
      <c r="H10" s="1" t="n"/>
    </row>
    <row r="11">
      <c r="A11" s="23" t="inlineStr">
        <is>
          <t>TO</t>
        </is>
      </c>
      <c r="B11" s="23" t="inlineStr">
        <is>
          <t>Norte</t>
        </is>
      </c>
      <c r="C11" s="1" t="n"/>
      <c r="D11" s="30" t="inlineStr">
        <is>
          <t>Faixas de qualidade seguem o Dashboard do site. As faixas dos cursos (0–10) são uma sugestão: ajuste ao critério do relatório.</t>
        </is>
      </c>
      <c r="F11" s="1" t="n"/>
      <c r="G11" s="1" t="n"/>
      <c r="H11" s="1" t="n"/>
    </row>
    <row r="12">
      <c r="A12" s="23" t="inlineStr">
        <is>
          <t>AL</t>
        </is>
      </c>
      <c r="B12" s="23" t="inlineStr">
        <is>
          <t>Nordeste</t>
        </is>
      </c>
      <c r="C12" s="1" t="n"/>
      <c r="F12" s="1" t="n"/>
      <c r="G12" s="1" t="n"/>
      <c r="H12" s="1" t="n"/>
    </row>
    <row r="13">
      <c r="A13" s="23" t="inlineStr">
        <is>
          <t>BA</t>
        </is>
      </c>
      <c r="B13" s="23" t="inlineStr">
        <is>
          <t>Nordeste</t>
        </is>
      </c>
      <c r="C13" s="1" t="n"/>
      <c r="F13" s="1" t="n"/>
      <c r="G13" s="1" t="n"/>
      <c r="H13" s="1" t="n"/>
    </row>
    <row r="14">
      <c r="A14" s="23" t="inlineStr">
        <is>
          <t>CE</t>
        </is>
      </c>
      <c r="B14" s="23" t="inlineStr">
        <is>
          <t>Nordeste</t>
        </is>
      </c>
      <c r="C14" s="1" t="n"/>
      <c r="F14" s="1" t="n"/>
      <c r="G14" s="1" t="n"/>
      <c r="H14" s="1" t="n"/>
    </row>
    <row r="15">
      <c r="A15" s="23" t="inlineStr">
        <is>
          <t>MA</t>
        </is>
      </c>
      <c r="B15" s="23" t="inlineStr">
        <is>
          <t>Nordeste</t>
        </is>
      </c>
      <c r="C15" s="1" t="n"/>
      <c r="D15" s="1" t="n"/>
      <c r="E15" s="1" t="n"/>
      <c r="F15" s="1" t="n"/>
      <c r="G15" s="1" t="n"/>
      <c r="H15" s="1" t="n"/>
    </row>
    <row r="16">
      <c r="A16" s="23" t="inlineStr">
        <is>
          <t>PB</t>
        </is>
      </c>
      <c r="B16" s="23" t="inlineStr">
        <is>
          <t>Nordeste</t>
        </is>
      </c>
      <c r="C16" s="1" t="n"/>
      <c r="D16" s="1" t="n"/>
      <c r="E16" s="1" t="n"/>
      <c r="F16" s="1" t="n"/>
      <c r="G16" s="1" t="n"/>
      <c r="H16" s="1" t="n"/>
    </row>
    <row r="17">
      <c r="A17" s="23" t="inlineStr">
        <is>
          <t>PE</t>
        </is>
      </c>
      <c r="B17" s="23" t="inlineStr">
        <is>
          <t>Nordeste</t>
        </is>
      </c>
      <c r="C17" s="1" t="n"/>
      <c r="D17" s="1" t="n"/>
      <c r="E17" s="1" t="n"/>
      <c r="F17" s="1" t="n"/>
      <c r="G17" s="1" t="n"/>
      <c r="H17" s="1" t="n"/>
    </row>
    <row r="18">
      <c r="A18" s="23" t="inlineStr">
        <is>
          <t>PI</t>
        </is>
      </c>
      <c r="B18" s="23" t="inlineStr">
        <is>
          <t>Nordeste</t>
        </is>
      </c>
      <c r="C18" s="1" t="n"/>
      <c r="D18" s="1" t="n"/>
      <c r="E18" s="1" t="n"/>
      <c r="F18" s="1" t="n"/>
      <c r="G18" s="1" t="n"/>
      <c r="H18" s="1" t="n"/>
    </row>
    <row r="19">
      <c r="A19" s="23" t="inlineStr">
        <is>
          <t>RN</t>
        </is>
      </c>
      <c r="B19" s="23" t="inlineStr">
        <is>
          <t>Nordeste</t>
        </is>
      </c>
      <c r="C19" s="1" t="n"/>
      <c r="D19" s="1" t="n"/>
      <c r="E19" s="1" t="n"/>
      <c r="F19" s="1" t="n"/>
      <c r="G19" s="1" t="n"/>
      <c r="H19" s="1" t="n"/>
    </row>
    <row r="20">
      <c r="A20" s="23" t="inlineStr">
        <is>
          <t>SE</t>
        </is>
      </c>
      <c r="B20" s="23" t="inlineStr">
        <is>
          <t>Nordeste</t>
        </is>
      </c>
      <c r="C20" s="1" t="n"/>
      <c r="D20" s="1" t="n"/>
      <c r="E20" s="1" t="n"/>
      <c r="F20" s="1" t="n"/>
      <c r="G20" s="1" t="n"/>
      <c r="H20" s="1" t="n"/>
    </row>
    <row r="21">
      <c r="A21" s="23" t="inlineStr">
        <is>
          <t>DF</t>
        </is>
      </c>
      <c r="B21" s="23" t="inlineStr">
        <is>
          <t>Centro-Oeste</t>
        </is>
      </c>
      <c r="C21" s="1" t="n"/>
      <c r="D21" s="1" t="n"/>
      <c r="E21" s="1" t="n"/>
      <c r="F21" s="1" t="n"/>
      <c r="G21" s="1" t="n"/>
      <c r="H21" s="1" t="n"/>
    </row>
    <row r="22">
      <c r="A22" s="23" t="inlineStr">
        <is>
          <t>GO</t>
        </is>
      </c>
      <c r="B22" s="23" t="inlineStr">
        <is>
          <t>Centro-Oeste</t>
        </is>
      </c>
      <c r="C22" s="1" t="n"/>
      <c r="D22" s="1" t="n"/>
      <c r="E22" s="1" t="n"/>
      <c r="F22" s="1" t="n"/>
      <c r="G22" s="1" t="n"/>
      <c r="H22" s="1" t="n"/>
    </row>
    <row r="23">
      <c r="A23" s="23" t="inlineStr">
        <is>
          <t>MT</t>
        </is>
      </c>
      <c r="B23" s="23" t="inlineStr">
        <is>
          <t>Centro-Oeste</t>
        </is>
      </c>
      <c r="C23" s="1" t="n"/>
      <c r="D23" s="1" t="n"/>
      <c r="E23" s="1" t="n"/>
      <c r="F23" s="1" t="n"/>
      <c r="G23" s="1" t="n"/>
      <c r="H23" s="1" t="n"/>
    </row>
    <row r="24">
      <c r="A24" s="23" t="inlineStr">
        <is>
          <t>MS</t>
        </is>
      </c>
      <c r="B24" s="23" t="inlineStr">
        <is>
          <t>Centro-Oeste</t>
        </is>
      </c>
      <c r="C24" s="1" t="n"/>
      <c r="D24" s="1" t="n"/>
      <c r="E24" s="1" t="n"/>
      <c r="F24" s="1" t="n"/>
      <c r="G24" s="1" t="n"/>
      <c r="H24" s="1" t="n"/>
    </row>
    <row r="25">
      <c r="A25" s="23" t="inlineStr">
        <is>
          <t>ES</t>
        </is>
      </c>
      <c r="B25" s="23" t="inlineStr">
        <is>
          <t>Sudeste</t>
        </is>
      </c>
      <c r="C25" s="1" t="n"/>
      <c r="D25" s="1" t="n"/>
      <c r="E25" s="1" t="n"/>
      <c r="F25" s="1" t="n"/>
      <c r="G25" s="1" t="n"/>
      <c r="H25" s="1" t="n"/>
    </row>
    <row r="26">
      <c r="A26" s="23" t="inlineStr">
        <is>
          <t>MG</t>
        </is>
      </c>
      <c r="B26" s="23" t="inlineStr">
        <is>
          <t>Sudeste</t>
        </is>
      </c>
      <c r="C26" s="1" t="n"/>
      <c r="D26" s="1" t="n"/>
      <c r="E26" s="1" t="n"/>
      <c r="F26" s="1" t="n"/>
      <c r="G26" s="1" t="n"/>
      <c r="H26" s="1" t="n"/>
    </row>
    <row r="27">
      <c r="A27" s="23" t="inlineStr">
        <is>
          <t>RJ</t>
        </is>
      </c>
      <c r="B27" s="23" t="inlineStr">
        <is>
          <t>Sudeste</t>
        </is>
      </c>
      <c r="C27" s="1" t="n"/>
      <c r="D27" s="1" t="n"/>
      <c r="E27" s="1" t="n"/>
      <c r="F27" s="1" t="n"/>
      <c r="G27" s="1" t="n"/>
      <c r="H27" s="1" t="n"/>
    </row>
    <row r="28">
      <c r="A28" s="23" t="inlineStr">
        <is>
          <t>SP</t>
        </is>
      </c>
      <c r="B28" s="23" t="inlineStr">
        <is>
          <t>Sudeste</t>
        </is>
      </c>
      <c r="C28" s="1" t="n"/>
      <c r="D28" s="1" t="n"/>
      <c r="E28" s="1" t="n"/>
      <c r="F28" s="1" t="n"/>
      <c r="G28" s="1" t="n"/>
      <c r="H28" s="1" t="n"/>
    </row>
    <row r="29">
      <c r="A29" s="23" t="inlineStr">
        <is>
          <t>PR</t>
        </is>
      </c>
      <c r="B29" s="23" t="inlineStr">
        <is>
          <t>Sul</t>
        </is>
      </c>
      <c r="C29" s="1" t="n"/>
      <c r="D29" s="1" t="n"/>
      <c r="E29" s="1" t="n"/>
      <c r="F29" s="1" t="n"/>
      <c r="G29" s="1" t="n"/>
      <c r="H29" s="1" t="n"/>
    </row>
    <row r="30">
      <c r="A30" s="23" t="inlineStr">
        <is>
          <t>RS</t>
        </is>
      </c>
      <c r="B30" s="23" t="inlineStr">
        <is>
          <t>Sul</t>
        </is>
      </c>
      <c r="C30" s="1" t="n"/>
      <c r="D30" s="1" t="n"/>
      <c r="E30" s="1" t="n"/>
      <c r="F30" s="1" t="n"/>
      <c r="G30" s="1" t="n"/>
      <c r="H30" s="1" t="n"/>
    </row>
    <row r="31">
      <c r="A31" s="23" t="inlineStr">
        <is>
          <t>SC</t>
        </is>
      </c>
      <c r="B31" s="23" t="inlineStr">
        <is>
          <t>Sul</t>
        </is>
      </c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2">
    <mergeCell ref="A1:A3"/>
    <mergeCell ref="D11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tabSelected="0" workbookViewId="0">
      <selection activeCell="A1" sqref="A1:C68"/>
    </sheetView>
  </sheetViews>
  <sheetFormatPr baseColWidth="8" defaultRowHeight="15"/>
  <cols>
    <col width="38.7109375" bestFit="1" customWidth="1" min="1" max="1"/>
    <col width="13.5703125" bestFit="1" customWidth="1" min="2" max="2"/>
    <col width="12.85546875" bestFit="1" customWidth="1" min="3" max="3"/>
  </cols>
  <sheetData>
    <row r="1">
      <c r="A1" t="inlineStr">
        <is>
          <t>escola</t>
        </is>
      </c>
      <c r="B1" t="inlineStr">
        <is>
          <t>Nota média</t>
        </is>
      </c>
      <c r="C1" t="inlineStr">
        <is>
          <t>Avaliações</t>
        </is>
      </c>
    </row>
    <row r="2">
      <c r="A2" t="inlineStr">
        <is>
          <t>Colégio Estadual de Rio Branco</t>
        </is>
      </c>
      <c r="B2" t="n">
        <v>5</v>
      </c>
      <c r="C2" t="n">
        <v>1</v>
      </c>
    </row>
    <row r="3">
      <c r="A3" t="inlineStr">
        <is>
          <t>Escola Municipal de Maceió</t>
        </is>
      </c>
      <c r="B3" t="n">
        <v>4</v>
      </c>
      <c r="C3" t="n">
        <v>1</v>
      </c>
    </row>
    <row r="4">
      <c r="A4" t="inlineStr">
        <is>
          <t>Colégio Estadual de Macapá</t>
        </is>
      </c>
      <c r="B4" t="n">
        <v>4</v>
      </c>
      <c r="C4" t="n">
        <v>1</v>
      </c>
    </row>
    <row r="5">
      <c r="A5" t="inlineStr">
        <is>
          <t>Escola Municipal de Manaus</t>
        </is>
      </c>
      <c r="B5" t="n">
        <v>5</v>
      </c>
      <c r="C5" t="n">
        <v>1</v>
      </c>
    </row>
    <row r="6">
      <c r="A6" t="inlineStr">
        <is>
          <t>Colégio Estadual de Salvador</t>
        </is>
      </c>
      <c r="B6" t="n">
        <v>4</v>
      </c>
      <c r="C6" t="n">
        <v>1</v>
      </c>
    </row>
    <row r="7">
      <c r="A7" t="inlineStr">
        <is>
          <t>Escola Municipal de Fortaleza</t>
        </is>
      </c>
      <c r="B7" t="n">
        <v>3</v>
      </c>
      <c r="C7" t="n">
        <v>1</v>
      </c>
    </row>
    <row r="8">
      <c r="A8" t="inlineStr">
        <is>
          <t>Centro de Ensino de Brasília</t>
        </is>
      </c>
      <c r="B8" t="n">
        <v>5</v>
      </c>
      <c r="C8" t="n">
        <v>1</v>
      </c>
    </row>
    <row r="9">
      <c r="A9" t="inlineStr">
        <is>
          <t>Colégio Estadual de Vitória</t>
        </is>
      </c>
      <c r="B9" t="n">
        <v>4</v>
      </c>
      <c r="C9" t="n">
        <v>1</v>
      </c>
    </row>
    <row r="10">
      <c r="A10" t="inlineStr">
        <is>
          <t>Escola Municipal de Goiânia</t>
        </is>
      </c>
      <c r="B10" t="n">
        <v>5</v>
      </c>
      <c r="C10" t="n">
        <v>1</v>
      </c>
    </row>
    <row r="11">
      <c r="A11" t="inlineStr">
        <is>
          <t>Colégio Estadual de São Luís</t>
        </is>
      </c>
      <c r="B11" t="n">
        <v>5</v>
      </c>
      <c r="C11" t="n">
        <v>1</v>
      </c>
    </row>
    <row r="12">
      <c r="A12" t="inlineStr">
        <is>
          <t>Escola Municipal de Cuiabá</t>
        </is>
      </c>
      <c r="B12" t="n">
        <v>3</v>
      </c>
      <c r="C12" t="n">
        <v>1</v>
      </c>
    </row>
    <row r="13">
      <c r="A13" t="inlineStr">
        <is>
          <t>Colégio Estadual de Campo Grande</t>
        </is>
      </c>
      <c r="B13" t="n">
        <v>5</v>
      </c>
      <c r="C13" t="n">
        <v>1</v>
      </c>
    </row>
    <row r="14">
      <c r="A14" t="inlineStr">
        <is>
          <t>Escola Municipal de Belo Horizonte</t>
        </is>
      </c>
      <c r="B14" t="n">
        <v>5</v>
      </c>
      <c r="C14" t="n">
        <v>1</v>
      </c>
    </row>
    <row r="15">
      <c r="A15" t="inlineStr">
        <is>
          <t>Colégio Estadual de Belém</t>
        </is>
      </c>
      <c r="B15" t="n">
        <v>3</v>
      </c>
      <c r="C15" t="n">
        <v>1</v>
      </c>
    </row>
    <row r="16">
      <c r="A16" t="inlineStr">
        <is>
          <t>Escola Municipal de João Pessoa</t>
        </is>
      </c>
      <c r="B16" t="n">
        <v>4</v>
      </c>
      <c r="C16" t="n">
        <v>1</v>
      </c>
    </row>
    <row r="17">
      <c r="A17" t="inlineStr">
        <is>
          <t>Colégio Estadual de Curitiba</t>
        </is>
      </c>
      <c r="B17" t="n">
        <v>5</v>
      </c>
      <c r="C17" t="n">
        <v>1</v>
      </c>
    </row>
    <row r="18">
      <c r="A18" t="inlineStr">
        <is>
          <t>Escola Municipal de Recife</t>
        </is>
      </c>
      <c r="B18" t="n">
        <v>3</v>
      </c>
      <c r="C18" t="n">
        <v>1</v>
      </c>
    </row>
    <row r="19">
      <c r="A19" t="inlineStr">
        <is>
          <t>Colégio Estadual de Teresina</t>
        </is>
      </c>
      <c r="B19" t="n">
        <v>4</v>
      </c>
      <c r="C19" t="n">
        <v>1</v>
      </c>
    </row>
    <row r="20">
      <c r="A20" t="inlineStr">
        <is>
          <t>Escola Municipal do Rio de Janeiro</t>
        </is>
      </c>
      <c r="B20" t="n">
        <v>5</v>
      </c>
      <c r="C20" t="n">
        <v>1</v>
      </c>
    </row>
    <row r="21">
      <c r="A21" t="inlineStr">
        <is>
          <t>Colégio Estadual de Natal</t>
        </is>
      </c>
      <c r="B21" t="n">
        <v>4</v>
      </c>
      <c r="C21" t="n">
        <v>1</v>
      </c>
    </row>
    <row r="22">
      <c r="A22" t="inlineStr">
        <is>
          <t>Escola Municipal de Porto Alegre</t>
        </is>
      </c>
      <c r="B22" t="n">
        <v>5</v>
      </c>
      <c r="C22" t="n">
        <v>1</v>
      </c>
    </row>
    <row r="23">
      <c r="A23" t="inlineStr">
        <is>
          <t>Colégio Estadual de Porto Velho</t>
        </is>
      </c>
      <c r="B23" t="n">
        <v>3</v>
      </c>
      <c r="C23" t="n">
        <v>1</v>
      </c>
    </row>
    <row r="24">
      <c r="A24" t="inlineStr">
        <is>
          <t>Escola Municipal de Boa Vista</t>
        </is>
      </c>
      <c r="B24" t="n">
        <v>4</v>
      </c>
      <c r="C24" t="n">
        <v>1</v>
      </c>
    </row>
    <row r="25">
      <c r="A25" t="inlineStr">
        <is>
          <t>Colégio Estadual de Florianópolis</t>
        </is>
      </c>
      <c r="B25" t="n">
        <v>5</v>
      </c>
      <c r="C25" t="n">
        <v>1</v>
      </c>
    </row>
    <row r="26">
      <c r="A26" t="inlineStr">
        <is>
          <t>Colégio Estadual de Aracaju</t>
        </is>
      </c>
      <c r="B26" t="n">
        <v>4</v>
      </c>
      <c r="C26" t="n">
        <v>1</v>
      </c>
    </row>
    <row r="27">
      <c r="A27" t="inlineStr">
        <is>
          <t>Escola Municipal de Palmas</t>
        </is>
      </c>
      <c r="B27" t="n">
        <v>4</v>
      </c>
      <c r="C27" t="n">
        <v>1</v>
      </c>
    </row>
    <row r="28">
      <c r="A28" t="inlineStr">
        <is>
          <t>Escola Municipal de São Paulo</t>
        </is>
      </c>
      <c r="B28" t="n">
        <v>5</v>
      </c>
      <c r="C28" t="n">
        <v>1</v>
      </c>
    </row>
    <row r="29">
      <c r="A29" t="inlineStr">
        <is>
          <t>Instituto Federal de Uberlândia</t>
        </is>
      </c>
      <c r="B29" t="n">
        <v>5</v>
      </c>
      <c r="C29" t="n">
        <v>1</v>
      </c>
    </row>
    <row r="30">
      <c r="A30" t="inlineStr">
        <is>
          <t>Centro de Ensino de Campinas</t>
        </is>
      </c>
      <c r="B30" t="n">
        <v>5</v>
      </c>
      <c r="C30" t="n">
        <v>1</v>
      </c>
    </row>
    <row r="31">
      <c r="A31" t="inlineStr">
        <is>
          <t>Escola Estadual de Niterói</t>
        </is>
      </c>
      <c r="B31" t="n">
        <v>3</v>
      </c>
      <c r="C31" t="n">
        <v>1</v>
      </c>
    </row>
    <row r="32">
      <c r="A32" t="inlineStr">
        <is>
          <t>Escola Municipal de Londrina</t>
        </is>
      </c>
      <c r="B32" t="n">
        <v>4</v>
      </c>
      <c r="C32" t="n">
        <v>1</v>
      </c>
    </row>
    <row r="33">
      <c r="A33" t="inlineStr">
        <is>
          <t>Colégio Estadual de Joinville</t>
        </is>
      </c>
      <c r="B33" t="n">
        <v>2</v>
      </c>
      <c r="C33" t="n">
        <v>1</v>
      </c>
    </row>
    <row r="34">
      <c r="A34" t="inlineStr">
        <is>
          <t>Centro de Ensino de Juiz de Fora</t>
        </is>
      </c>
      <c r="B34" t="n">
        <v>3</v>
      </c>
      <c r="C34" t="n">
        <v>1</v>
      </c>
    </row>
    <row r="35">
      <c r="A35" t="inlineStr">
        <is>
          <t>Escola Estadual de Ribeirão Preto</t>
        </is>
      </c>
      <c r="B35" t="n">
        <v>4</v>
      </c>
      <c r="C35" t="n">
        <v>1</v>
      </c>
    </row>
    <row r="36">
      <c r="A36" t="inlineStr">
        <is>
          <t>Colégio Estadual de Caxias do Sul</t>
        </is>
      </c>
      <c r="B36" t="n">
        <v>5</v>
      </c>
      <c r="C36" t="n">
        <v>1</v>
      </c>
    </row>
    <row r="37">
      <c r="A37" t="inlineStr">
        <is>
          <t>Escola Municipal de Feira de Santana</t>
        </is>
      </c>
      <c r="B37" t="n">
        <v>4</v>
      </c>
      <c r="C37" t="n">
        <v>1</v>
      </c>
    </row>
    <row r="38">
      <c r="A38" t="inlineStr">
        <is>
          <t>Instituto Federal de Pelotas</t>
        </is>
      </c>
      <c r="B38" t="n">
        <v>5</v>
      </c>
      <c r="C38" t="n">
        <v>1</v>
      </c>
    </row>
    <row r="39">
      <c r="A39" t="inlineStr">
        <is>
          <t>Escola Municipal de Vila Velha</t>
        </is>
      </c>
      <c r="B39" t="n">
        <v>5</v>
      </c>
      <c r="C39" t="n">
        <v>1</v>
      </c>
    </row>
    <row r="40">
      <c r="A40" t="inlineStr">
        <is>
          <t>Colégio Estadual de Anápolis</t>
        </is>
      </c>
      <c r="B40" t="n">
        <v>4</v>
      </c>
      <c r="C40" t="n">
        <v>1</v>
      </c>
    </row>
    <row r="41">
      <c r="A41" t="inlineStr">
        <is>
          <t>Centro de Ensino de Sorocaba</t>
        </is>
      </c>
      <c r="B41" t="n">
        <v>4</v>
      </c>
      <c r="C41" t="n">
        <v>1</v>
      </c>
    </row>
    <row r="42">
      <c r="A42" t="inlineStr">
        <is>
          <t>Instituto Federal de Mossoró</t>
        </is>
      </c>
      <c r="B42" t="n">
        <v>5</v>
      </c>
      <c r="C42" t="n">
        <v>1</v>
      </c>
    </row>
    <row r="43">
      <c r="A43" t="inlineStr">
        <is>
          <t>Escola Estadual de São José dos Campos</t>
        </is>
      </c>
      <c r="B43" t="n">
        <v>3</v>
      </c>
      <c r="C43" t="n">
        <v>1</v>
      </c>
    </row>
    <row r="44">
      <c r="A44" t="inlineStr">
        <is>
          <t>Centro de Ensino de Santos</t>
        </is>
      </c>
      <c r="B44" t="n">
        <v>4</v>
      </c>
      <c r="C44" t="n">
        <v>1</v>
      </c>
    </row>
    <row r="45">
      <c r="A45" t="inlineStr">
        <is>
          <t>Escola Estadual de Montes Claros</t>
        </is>
      </c>
      <c r="B45" t="n">
        <v>3</v>
      </c>
      <c r="C45" t="n">
        <v>1</v>
      </c>
    </row>
    <row r="46">
      <c r="A46" t="inlineStr">
        <is>
          <t>Instituto Federal de Bento Gonçalves</t>
        </is>
      </c>
      <c r="B46" t="n">
        <v>5</v>
      </c>
      <c r="C46" t="n">
        <v>1</v>
      </c>
    </row>
    <row r="47">
      <c r="A47" t="inlineStr">
        <is>
          <t>Escola Municipal de Caruaru</t>
        </is>
      </c>
      <c r="B47" t="n">
        <v>4</v>
      </c>
      <c r="C47" t="n">
        <v>1</v>
      </c>
    </row>
    <row r="48">
      <c r="A48" t="inlineStr">
        <is>
          <t>Colégio Estadual de Maringá</t>
        </is>
      </c>
      <c r="B48" t="n">
        <v>4</v>
      </c>
      <c r="C48" t="n">
        <v>1</v>
      </c>
    </row>
    <row r="49">
      <c r="A49" t="inlineStr">
        <is>
          <t>Escola Municipal de Petrópolis</t>
        </is>
      </c>
      <c r="B49" t="n">
        <v>5</v>
      </c>
      <c r="C49" t="n">
        <v>1</v>
      </c>
    </row>
    <row r="50">
      <c r="A50" t="inlineStr">
        <is>
          <t>Colégio Estadual de Blumenau</t>
        </is>
      </c>
      <c r="B50" t="n">
        <v>4</v>
      </c>
      <c r="C50" t="n">
        <v>1</v>
      </c>
    </row>
    <row r="51">
      <c r="A51" t="inlineStr">
        <is>
          <t>Instituto Federal de Petrolina</t>
        </is>
      </c>
      <c r="B51" t="n">
        <v>5</v>
      </c>
      <c r="C51" t="n">
        <v>1</v>
      </c>
    </row>
    <row r="52">
      <c r="A52" t="inlineStr">
        <is>
          <t>Escola Estadual de Santarém</t>
        </is>
      </c>
      <c r="B52" t="n">
        <v>3</v>
      </c>
      <c r="C52" t="n">
        <v>1</v>
      </c>
    </row>
    <row r="53">
      <c r="A53" t="inlineStr">
        <is>
          <t>Centro de Ensino de Cascavel</t>
        </is>
      </c>
      <c r="B53" t="n">
        <v>4</v>
      </c>
      <c r="C53" t="n">
        <v>1</v>
      </c>
    </row>
    <row r="54">
      <c r="A54" t="inlineStr">
        <is>
          <t>Centro de Ensino de Mogi das Cruzes</t>
        </is>
      </c>
      <c r="B54" t="n">
        <v>4</v>
      </c>
      <c r="C54" t="n">
        <v>1</v>
      </c>
    </row>
    <row r="55">
      <c r="A55" t="inlineStr">
        <is>
          <t>Instituto Federal de Chapecó</t>
        </is>
      </c>
      <c r="B55" t="n">
        <v>5</v>
      </c>
      <c r="C55" t="n">
        <v>1</v>
      </c>
    </row>
    <row r="56">
      <c r="A56" t="inlineStr">
        <is>
          <t>Escola Estadual de Olinda</t>
        </is>
      </c>
      <c r="B56" t="n">
        <v>3</v>
      </c>
      <c r="C56" t="n">
        <v>1</v>
      </c>
    </row>
    <row r="57">
      <c r="A57" t="inlineStr">
        <is>
          <t>Escola Municipal de Canoas</t>
        </is>
      </c>
      <c r="B57" t="n">
        <v>5</v>
      </c>
      <c r="C57" t="n">
        <v>1</v>
      </c>
    </row>
    <row r="58">
      <c r="A58" t="inlineStr">
        <is>
          <t>Colégio Estadual de Bauru</t>
        </is>
      </c>
      <c r="B58" t="n">
        <v>4</v>
      </c>
      <c r="C58" t="n">
        <v>1</v>
      </c>
    </row>
    <row r="59">
      <c r="A59" t="inlineStr">
        <is>
          <t>Instituto Federal de Santa Maria</t>
        </is>
      </c>
      <c r="B59" t="n">
        <v>5</v>
      </c>
      <c r="C59" t="n">
        <v>1</v>
      </c>
    </row>
    <row r="60">
      <c r="A60" t="inlineStr">
        <is>
          <t>Centro de Ensino de Piracicaba</t>
        </is>
      </c>
      <c r="B60" t="n">
        <v>5</v>
      </c>
      <c r="C60" t="n">
        <v>1</v>
      </c>
    </row>
    <row r="61">
      <c r="A61" t="inlineStr">
        <is>
          <t>Escola Estadual de Duque de Caxias</t>
        </is>
      </c>
      <c r="B61" t="n">
        <v>3</v>
      </c>
      <c r="C61" t="n">
        <v>1</v>
      </c>
    </row>
    <row r="62">
      <c r="A62" t="inlineStr">
        <is>
          <t>Colégio Estadual de Jundiaí</t>
        </is>
      </c>
      <c r="B62" t="n">
        <v>4</v>
      </c>
      <c r="C62" t="n">
        <v>1</v>
      </c>
    </row>
    <row r="63">
      <c r="A63" t="inlineStr">
        <is>
          <t>Escola Municipal de Caucaia</t>
        </is>
      </c>
      <c r="B63" t="n">
        <v>4</v>
      </c>
      <c r="C63" t="n">
        <v>1</v>
      </c>
    </row>
    <row r="64">
      <c r="A64" t="inlineStr">
        <is>
          <t>Colégio Estadual de Guarulhos</t>
        </is>
      </c>
      <c r="B64" t="n">
        <v>3</v>
      </c>
      <c r="C64" t="n">
        <v>1</v>
      </c>
    </row>
    <row r="65">
      <c r="A65" t="inlineStr">
        <is>
          <t>Instituto Federal de Campina Grande</t>
        </is>
      </c>
      <c r="B65" t="n">
        <v>5</v>
      </c>
      <c r="C65" t="n">
        <v>1</v>
      </c>
    </row>
    <row r="66">
      <c r="A66" t="inlineStr">
        <is>
          <t>Escola Municipal de Vitória da Conquista</t>
        </is>
      </c>
      <c r="B66" t="n">
        <v>4</v>
      </c>
      <c r="C66" t="n">
        <v>1</v>
      </c>
    </row>
    <row r="67">
      <c r="A67" t="inlineStr">
        <is>
          <t>Centro de Ensino de Aparecida de Goiânia</t>
        </is>
      </c>
      <c r="B67" t="n">
        <v>4</v>
      </c>
      <c r="C67" t="n">
        <v>1</v>
      </c>
    </row>
    <row r="68">
      <c r="A68" t="inlineStr">
        <is>
          <t>Escola Estadual de Contagem</t>
        </is>
      </c>
      <c r="B68" t="n">
        <v>2</v>
      </c>
      <c r="C68" t="n">
        <v>1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0" workbookViewId="0">
      <selection activeCell="B2" sqref="B2"/>
    </sheetView>
  </sheetViews>
  <sheetFormatPr baseColWidth="8" defaultRowHeight="15"/>
  <cols>
    <col width="5" bestFit="1" customWidth="1" min="1" max="1"/>
    <col width="20.28515625" bestFit="1" customWidth="1" min="2" max="2"/>
    <col width="9.42578125" bestFit="1" customWidth="1" min="3" max="3"/>
    <col width="17.28515625" bestFit="1" customWidth="1" min="4" max="4"/>
    <col width="11.42578125" bestFit="1" customWidth="1" min="6" max="6"/>
  </cols>
  <sheetData>
    <row r="1">
      <c r="A1" t="inlineStr">
        <is>
          <t>id</t>
        </is>
      </c>
      <c r="B1" t="inlineStr">
        <is>
          <t>cidade</t>
        </is>
      </c>
      <c r="C1" t="inlineStr">
        <is>
          <t>estado</t>
        </is>
      </c>
      <c r="D1" t="inlineStr">
        <is>
          <t>tipoLocalizacao</t>
        </is>
      </c>
      <c r="E1" t="inlineStr">
        <is>
          <t>escola</t>
        </is>
      </c>
    </row>
    <row r="2">
      <c r="A2" t="n">
        <v>1</v>
      </c>
      <c r="B2" t="inlineStr">
        <is>
          <t>Rio Branco</t>
        </is>
      </c>
      <c r="C2" t="inlineStr">
        <is>
          <t>AC</t>
        </is>
      </c>
      <c r="D2" t="inlineStr">
        <is>
          <t>urbana</t>
        </is>
      </c>
      <c r="E2" t="inlineStr">
        <is>
          <t>[Record]</t>
        </is>
      </c>
    </row>
    <row r="3">
      <c r="A3" t="n">
        <v>2</v>
      </c>
      <c r="B3" t="inlineStr">
        <is>
          <t>Maceió</t>
        </is>
      </c>
      <c r="C3" t="inlineStr">
        <is>
          <t>AL</t>
        </is>
      </c>
      <c r="D3" t="inlineStr">
        <is>
          <t>urbana</t>
        </is>
      </c>
      <c r="E3" t="inlineStr">
        <is>
          <t>[Record]</t>
        </is>
      </c>
    </row>
    <row r="4">
      <c r="A4" t="n">
        <v>3</v>
      </c>
      <c r="B4" t="inlineStr">
        <is>
          <t>Macapá</t>
        </is>
      </c>
      <c r="C4" t="inlineStr">
        <is>
          <t>AP</t>
        </is>
      </c>
      <c r="D4" t="inlineStr">
        <is>
          <t>urbana</t>
        </is>
      </c>
      <c r="E4" t="inlineStr">
        <is>
          <t>[Record]</t>
        </is>
      </c>
    </row>
    <row r="5">
      <c r="A5" t="n">
        <v>4</v>
      </c>
      <c r="B5" t="inlineStr">
        <is>
          <t>Manaus</t>
        </is>
      </c>
      <c r="C5" t="inlineStr">
        <is>
          <t>AM</t>
        </is>
      </c>
      <c r="D5" t="inlineStr">
        <is>
          <t>urbana</t>
        </is>
      </c>
      <c r="E5" t="inlineStr">
        <is>
          <t>[Record]</t>
        </is>
      </c>
    </row>
    <row r="6">
      <c r="A6" t="n">
        <v>5</v>
      </c>
      <c r="B6" t="inlineStr">
        <is>
          <t>Salvador</t>
        </is>
      </c>
      <c r="C6" t="inlineStr">
        <is>
          <t>BA</t>
        </is>
      </c>
      <c r="D6" t="inlineStr">
        <is>
          <t>urbana</t>
        </is>
      </c>
      <c r="E6" t="inlineStr">
        <is>
          <t>[Record]</t>
        </is>
      </c>
    </row>
    <row r="7">
      <c r="A7" t="n">
        <v>6</v>
      </c>
      <c r="B7" t="inlineStr">
        <is>
          <t>Fortaleza</t>
        </is>
      </c>
      <c r="C7" t="inlineStr">
        <is>
          <t>CE</t>
        </is>
      </c>
      <c r="D7" t="inlineStr">
        <is>
          <t>urbana</t>
        </is>
      </c>
      <c r="E7" t="inlineStr">
        <is>
          <t>[Record]</t>
        </is>
      </c>
    </row>
    <row r="8">
      <c r="A8" t="n">
        <v>7</v>
      </c>
      <c r="B8" t="inlineStr">
        <is>
          <t>Brasília</t>
        </is>
      </c>
      <c r="C8" t="inlineStr">
        <is>
          <t>DF</t>
        </is>
      </c>
      <c r="D8" t="inlineStr">
        <is>
          <t>urbana</t>
        </is>
      </c>
      <c r="E8" t="inlineStr">
        <is>
          <t>[Record]</t>
        </is>
      </c>
    </row>
    <row r="9">
      <c r="A9" t="n">
        <v>8</v>
      </c>
      <c r="B9" t="inlineStr">
        <is>
          <t>Vitória</t>
        </is>
      </c>
      <c r="C9" t="inlineStr">
        <is>
          <t>ES</t>
        </is>
      </c>
      <c r="D9" t="inlineStr">
        <is>
          <t>urbana</t>
        </is>
      </c>
      <c r="E9" t="inlineStr">
        <is>
          <t>[Record]</t>
        </is>
      </c>
    </row>
    <row r="10">
      <c r="A10" t="n">
        <v>9</v>
      </c>
      <c r="B10" t="inlineStr">
        <is>
          <t>Goiânia</t>
        </is>
      </c>
      <c r="C10" t="inlineStr">
        <is>
          <t>GO</t>
        </is>
      </c>
      <c r="D10" t="inlineStr">
        <is>
          <t>urbana</t>
        </is>
      </c>
      <c r="E10" t="inlineStr">
        <is>
          <t>[Record]</t>
        </is>
      </c>
    </row>
    <row r="11">
      <c r="A11" t="n">
        <v>10</v>
      </c>
      <c r="B11" t="inlineStr">
        <is>
          <t>São Luís</t>
        </is>
      </c>
      <c r="C11" t="inlineStr">
        <is>
          <t>MA</t>
        </is>
      </c>
      <c r="D11" t="inlineStr">
        <is>
          <t>urbana</t>
        </is>
      </c>
      <c r="E11" t="inlineStr">
        <is>
          <t>[Record]</t>
        </is>
      </c>
    </row>
    <row r="12">
      <c r="A12" t="n">
        <v>11</v>
      </c>
      <c r="B12" t="inlineStr">
        <is>
          <t>Cuiabá</t>
        </is>
      </c>
      <c r="C12" t="inlineStr">
        <is>
          <t>MT</t>
        </is>
      </c>
      <c r="D12" t="inlineStr">
        <is>
          <t>urbana</t>
        </is>
      </c>
      <c r="E12" t="inlineStr">
        <is>
          <t>[Record]</t>
        </is>
      </c>
    </row>
    <row r="13">
      <c r="A13" t="n">
        <v>12</v>
      </c>
      <c r="B13" t="inlineStr">
        <is>
          <t>Campo Grande</t>
        </is>
      </c>
      <c r="C13" t="inlineStr">
        <is>
          <t>MS</t>
        </is>
      </c>
      <c r="D13" t="inlineStr">
        <is>
          <t>urbana</t>
        </is>
      </c>
      <c r="E13" t="inlineStr">
        <is>
          <t>[Record]</t>
        </is>
      </c>
    </row>
    <row r="14">
      <c r="A14" t="n">
        <v>13</v>
      </c>
      <c r="B14" t="inlineStr">
        <is>
          <t>Belo Horizonte</t>
        </is>
      </c>
      <c r="C14" t="inlineStr">
        <is>
          <t>MG</t>
        </is>
      </c>
      <c r="D14" t="inlineStr">
        <is>
          <t>urbana</t>
        </is>
      </c>
      <c r="E14" t="inlineStr">
        <is>
          <t>[Record]</t>
        </is>
      </c>
    </row>
    <row r="15">
      <c r="A15" t="n">
        <v>14</v>
      </c>
      <c r="B15" t="inlineStr">
        <is>
          <t>Belém</t>
        </is>
      </c>
      <c r="C15" t="inlineStr">
        <is>
          <t>PA</t>
        </is>
      </c>
      <c r="D15" t="inlineStr">
        <is>
          <t>urbana</t>
        </is>
      </c>
      <c r="E15" t="inlineStr">
        <is>
          <t>[Record]</t>
        </is>
      </c>
    </row>
    <row r="16">
      <c r="A16" t="n">
        <v>15</v>
      </c>
      <c r="B16" t="inlineStr">
        <is>
          <t>João Pessoa</t>
        </is>
      </c>
      <c r="C16" t="inlineStr">
        <is>
          <t>PB</t>
        </is>
      </c>
      <c r="D16" t="inlineStr">
        <is>
          <t>urbana</t>
        </is>
      </c>
      <c r="E16" t="inlineStr">
        <is>
          <t>[Record]</t>
        </is>
      </c>
    </row>
    <row r="17">
      <c r="A17" t="n">
        <v>16</v>
      </c>
      <c r="B17" t="inlineStr">
        <is>
          <t>Curitiba</t>
        </is>
      </c>
      <c r="C17" t="inlineStr">
        <is>
          <t>PR</t>
        </is>
      </c>
      <c r="D17" t="inlineStr">
        <is>
          <t>urbana</t>
        </is>
      </c>
      <c r="E17" t="inlineStr">
        <is>
          <t>[Record]</t>
        </is>
      </c>
    </row>
    <row r="18">
      <c r="A18" t="n">
        <v>17</v>
      </c>
      <c r="B18" t="inlineStr">
        <is>
          <t>Recife</t>
        </is>
      </c>
      <c r="C18" t="inlineStr">
        <is>
          <t>PE</t>
        </is>
      </c>
      <c r="D18" t="inlineStr">
        <is>
          <t>urbana</t>
        </is>
      </c>
      <c r="E18" t="inlineStr">
        <is>
          <t>[Record]</t>
        </is>
      </c>
    </row>
    <row r="19">
      <c r="A19" t="n">
        <v>18</v>
      </c>
      <c r="B19" t="inlineStr">
        <is>
          <t>Teresina</t>
        </is>
      </c>
      <c r="C19" t="inlineStr">
        <is>
          <t>PI</t>
        </is>
      </c>
      <c r="D19" t="inlineStr">
        <is>
          <t>urbana</t>
        </is>
      </c>
      <c r="E19" t="inlineStr">
        <is>
          <t>[Record]</t>
        </is>
      </c>
    </row>
    <row r="20">
      <c r="A20" t="n">
        <v>19</v>
      </c>
      <c r="B20" t="inlineStr">
        <is>
          <t>Rio de Janeiro</t>
        </is>
      </c>
      <c r="C20" t="inlineStr">
        <is>
          <t>RJ</t>
        </is>
      </c>
      <c r="D20" t="inlineStr">
        <is>
          <t>urbana</t>
        </is>
      </c>
      <c r="E20" t="inlineStr">
        <is>
          <t>[Record]</t>
        </is>
      </c>
    </row>
    <row r="21">
      <c r="A21" t="n">
        <v>20</v>
      </c>
      <c r="B21" t="inlineStr">
        <is>
          <t>Natal</t>
        </is>
      </c>
      <c r="C21" t="inlineStr">
        <is>
          <t>RN</t>
        </is>
      </c>
      <c r="D21" t="inlineStr">
        <is>
          <t>urbana</t>
        </is>
      </c>
      <c r="E21" t="inlineStr">
        <is>
          <t>[Record]</t>
        </is>
      </c>
    </row>
    <row r="22">
      <c r="A22" t="n">
        <v>21</v>
      </c>
      <c r="B22" t="inlineStr">
        <is>
          <t>Porto Alegre</t>
        </is>
      </c>
      <c r="C22" t="inlineStr">
        <is>
          <t>RS</t>
        </is>
      </c>
      <c r="D22" t="inlineStr">
        <is>
          <t>urbana</t>
        </is>
      </c>
      <c r="E22" t="inlineStr">
        <is>
          <t>[Record]</t>
        </is>
      </c>
    </row>
    <row r="23">
      <c r="A23" t="n">
        <v>22</v>
      </c>
      <c r="B23" t="inlineStr">
        <is>
          <t>Porto Velho</t>
        </is>
      </c>
      <c r="C23" t="inlineStr">
        <is>
          <t>RO</t>
        </is>
      </c>
      <c r="D23" t="inlineStr">
        <is>
          <t>urbana</t>
        </is>
      </c>
      <c r="E23" t="inlineStr">
        <is>
          <t>[Record]</t>
        </is>
      </c>
    </row>
    <row r="24">
      <c r="A24" t="n">
        <v>23</v>
      </c>
      <c r="B24" t="inlineStr">
        <is>
          <t>Boa Vista</t>
        </is>
      </c>
      <c r="C24" t="inlineStr">
        <is>
          <t>RR</t>
        </is>
      </c>
      <c r="D24" t="inlineStr">
        <is>
          <t>urbana</t>
        </is>
      </c>
      <c r="E24" t="inlineStr">
        <is>
          <t>[Record]</t>
        </is>
      </c>
    </row>
    <row r="25">
      <c r="A25" t="n">
        <v>24</v>
      </c>
      <c r="B25" t="inlineStr">
        <is>
          <t>Florianópolis</t>
        </is>
      </c>
      <c r="C25" t="inlineStr">
        <is>
          <t>SC</t>
        </is>
      </c>
      <c r="D25" t="inlineStr">
        <is>
          <t>urbana</t>
        </is>
      </c>
      <c r="E25" t="inlineStr">
        <is>
          <t>[Record]</t>
        </is>
      </c>
    </row>
    <row r="26">
      <c r="A26" t="n">
        <v>25</v>
      </c>
      <c r="B26" t="inlineStr">
        <is>
          <t>São Paulo</t>
        </is>
      </c>
      <c r="C26" t="inlineStr">
        <is>
          <t>SP</t>
        </is>
      </c>
      <c r="D26" t="inlineStr">
        <is>
          <t>urbana</t>
        </is>
      </c>
      <c r="E26" t="inlineStr">
        <is>
          <t>[Record]</t>
        </is>
      </c>
    </row>
    <row r="27">
      <c r="A27" t="n">
        <v>26</v>
      </c>
      <c r="B27" t="inlineStr">
        <is>
          <t>Aracaju</t>
        </is>
      </c>
      <c r="C27" t="inlineStr">
        <is>
          <t>SE</t>
        </is>
      </c>
      <c r="D27" t="inlineStr">
        <is>
          <t>urbana</t>
        </is>
      </c>
      <c r="E27" t="inlineStr">
        <is>
          <t>[Record]</t>
        </is>
      </c>
    </row>
    <row r="28">
      <c r="A28" t="n">
        <v>27</v>
      </c>
      <c r="B28" t="inlineStr">
        <is>
          <t>Palmas</t>
        </is>
      </c>
      <c r="C28" t="inlineStr">
        <is>
          <t>TO</t>
        </is>
      </c>
      <c r="D28" t="inlineStr">
        <is>
          <t>urbana</t>
        </is>
      </c>
      <c r="E28" t="inlineStr">
        <is>
          <t>[Record]</t>
        </is>
      </c>
    </row>
    <row r="29">
      <c r="A29" t="n">
        <v>28</v>
      </c>
      <c r="B29" t="inlineStr">
        <is>
          <t>Campinas</t>
        </is>
      </c>
      <c r="C29" t="inlineStr">
        <is>
          <t>SP</t>
        </is>
      </c>
      <c r="D29" t="inlineStr">
        <is>
          <t>urbana</t>
        </is>
      </c>
      <c r="E29" t="inlineStr">
        <is>
          <t>[Record]</t>
        </is>
      </c>
    </row>
    <row r="30">
      <c r="A30" t="n">
        <v>29</v>
      </c>
      <c r="B30" t="inlineStr">
        <is>
          <t>Niterói</t>
        </is>
      </c>
      <c r="C30" t="inlineStr">
        <is>
          <t>RJ</t>
        </is>
      </c>
      <c r="D30" t="inlineStr">
        <is>
          <t>urbana</t>
        </is>
      </c>
      <c r="E30" t="inlineStr">
        <is>
          <t>[Record]</t>
        </is>
      </c>
    </row>
    <row r="31">
      <c r="A31" t="n">
        <v>30</v>
      </c>
      <c r="B31" t="inlineStr">
        <is>
          <t>Uberlândia</t>
        </is>
      </c>
      <c r="C31" t="inlineStr">
        <is>
          <t>MG</t>
        </is>
      </c>
      <c r="D31" t="inlineStr">
        <is>
          <t>urbana</t>
        </is>
      </c>
      <c r="E31" t="inlineStr">
        <is>
          <t>[Record]</t>
        </is>
      </c>
    </row>
    <row r="32">
      <c r="A32" t="n">
        <v>31</v>
      </c>
      <c r="B32" t="inlineStr">
        <is>
          <t>Londrina</t>
        </is>
      </c>
      <c r="C32" t="inlineStr">
        <is>
          <t>PR</t>
        </is>
      </c>
      <c r="D32" t="inlineStr">
        <is>
          <t>urbana</t>
        </is>
      </c>
      <c r="E32" t="inlineStr">
        <is>
          <t>[Record]</t>
        </is>
      </c>
    </row>
    <row r="33">
      <c r="A33" t="n">
        <v>32</v>
      </c>
      <c r="B33" t="inlineStr">
        <is>
          <t>Joinville</t>
        </is>
      </c>
      <c r="C33" t="inlineStr">
        <is>
          <t>SC</t>
        </is>
      </c>
      <c r="D33" t="inlineStr">
        <is>
          <t>urbana</t>
        </is>
      </c>
      <c r="E33" t="inlineStr">
        <is>
          <t>[Record]</t>
        </is>
      </c>
    </row>
    <row r="34">
      <c r="A34" t="n">
        <v>33</v>
      </c>
      <c r="B34" t="inlineStr">
        <is>
          <t>Ribeirão Preto</t>
        </is>
      </c>
      <c r="C34" t="inlineStr">
        <is>
          <t>SP</t>
        </is>
      </c>
      <c r="D34" t="inlineStr">
        <is>
          <t>urbana</t>
        </is>
      </c>
      <c r="E34" t="inlineStr">
        <is>
          <t>[Record]</t>
        </is>
      </c>
    </row>
    <row r="35">
      <c r="A35" t="n">
        <v>34</v>
      </c>
      <c r="B35" t="inlineStr">
        <is>
          <t>Caxias do Sul</t>
        </is>
      </c>
      <c r="C35" t="inlineStr">
        <is>
          <t>RS</t>
        </is>
      </c>
      <c r="D35" t="inlineStr">
        <is>
          <t>urbana</t>
        </is>
      </c>
      <c r="E35" t="inlineStr">
        <is>
          <t>[Record]</t>
        </is>
      </c>
    </row>
    <row r="36">
      <c r="A36" t="n">
        <v>35</v>
      </c>
      <c r="B36" t="inlineStr">
        <is>
          <t>Juiz de Fora</t>
        </is>
      </c>
      <c r="C36" t="inlineStr">
        <is>
          <t>MG</t>
        </is>
      </c>
      <c r="D36" t="inlineStr">
        <is>
          <t>urbana</t>
        </is>
      </c>
      <c r="E36" t="inlineStr">
        <is>
          <t>[Record]</t>
        </is>
      </c>
    </row>
    <row r="37">
      <c r="A37" t="n">
        <v>36</v>
      </c>
      <c r="B37" t="inlineStr">
        <is>
          <t>Feira de Santana</t>
        </is>
      </c>
      <c r="C37" t="inlineStr">
        <is>
          <t>BA</t>
        </is>
      </c>
      <c r="D37" t="inlineStr">
        <is>
          <t>urbana</t>
        </is>
      </c>
      <c r="E37" t="inlineStr">
        <is>
          <t>[Record]</t>
        </is>
      </c>
    </row>
    <row r="38">
      <c r="A38" t="n">
        <v>37</v>
      </c>
      <c r="B38" t="inlineStr">
        <is>
          <t>Pelotas</t>
        </is>
      </c>
      <c r="C38" t="inlineStr">
        <is>
          <t>RS</t>
        </is>
      </c>
      <c r="D38" t="inlineStr">
        <is>
          <t>urbana</t>
        </is>
      </c>
      <c r="E38" t="inlineStr">
        <is>
          <t>[Record]</t>
        </is>
      </c>
    </row>
    <row r="39">
      <c r="A39" t="n">
        <v>38</v>
      </c>
      <c r="B39" t="inlineStr">
        <is>
          <t>Anápolis</t>
        </is>
      </c>
      <c r="C39" t="inlineStr">
        <is>
          <t>GO</t>
        </is>
      </c>
      <c r="D39" t="inlineStr">
        <is>
          <t>urbana</t>
        </is>
      </c>
      <c r="E39" t="inlineStr">
        <is>
          <t>[Record]</t>
        </is>
      </c>
    </row>
    <row r="40">
      <c r="A40" t="n">
        <v>39</v>
      </c>
      <c r="B40" t="inlineStr">
        <is>
          <t>Vila Velha</t>
        </is>
      </c>
      <c r="C40" t="inlineStr">
        <is>
          <t>ES</t>
        </is>
      </c>
      <c r="D40" t="inlineStr">
        <is>
          <t>urbana</t>
        </is>
      </c>
      <c r="E40" t="inlineStr">
        <is>
          <t>[Record]</t>
        </is>
      </c>
    </row>
    <row r="41">
      <c r="A41" t="n">
        <v>40</v>
      </c>
      <c r="B41" t="inlineStr">
        <is>
          <t>Sorocaba</t>
        </is>
      </c>
      <c r="C41" t="inlineStr">
        <is>
          <t>SP</t>
        </is>
      </c>
      <c r="D41" t="inlineStr">
        <is>
          <t>urbana</t>
        </is>
      </c>
      <c r="E41" t="inlineStr">
        <is>
          <t>[Record]</t>
        </is>
      </c>
    </row>
    <row r="42">
      <c r="A42" t="n">
        <v>41</v>
      </c>
      <c r="B42" t="inlineStr">
        <is>
          <t>Mossoró</t>
        </is>
      </c>
      <c r="C42" t="inlineStr">
        <is>
          <t>RN</t>
        </is>
      </c>
      <c r="D42" t="inlineStr">
        <is>
          <t>urbana</t>
        </is>
      </c>
      <c r="E42" t="inlineStr">
        <is>
          <t>[Record]</t>
        </is>
      </c>
    </row>
    <row r="43">
      <c r="A43" t="n">
        <v>42</v>
      </c>
      <c r="B43" t="inlineStr">
        <is>
          <t>São José dos Campos</t>
        </is>
      </c>
      <c r="C43" t="inlineStr">
        <is>
          <t>SP</t>
        </is>
      </c>
      <c r="D43" t="inlineStr">
        <is>
          <t>urbana</t>
        </is>
      </c>
      <c r="E43" t="inlineStr">
        <is>
          <t>[Record]</t>
        </is>
      </c>
    </row>
    <row r="44">
      <c r="A44" t="n">
        <v>43</v>
      </c>
      <c r="B44" t="inlineStr">
        <is>
          <t>Santos</t>
        </is>
      </c>
      <c r="C44" t="inlineStr">
        <is>
          <t>SP</t>
        </is>
      </c>
      <c r="D44" t="inlineStr">
        <is>
          <t>urbana</t>
        </is>
      </c>
      <c r="E44" t="inlineStr">
        <is>
          <t>[Record]</t>
        </is>
      </c>
    </row>
    <row r="45">
      <c r="A45" t="n">
        <v>44</v>
      </c>
      <c r="B45" t="inlineStr">
        <is>
          <t>Montes Claros</t>
        </is>
      </c>
      <c r="C45" t="inlineStr">
        <is>
          <t>MG</t>
        </is>
      </c>
      <c r="D45" t="inlineStr">
        <is>
          <t>urbana</t>
        </is>
      </c>
      <c r="E45" t="inlineStr">
        <is>
          <t>[Record]</t>
        </is>
      </c>
    </row>
    <row r="46">
      <c r="A46" t="n">
        <v>45</v>
      </c>
      <c r="B46" t="inlineStr">
        <is>
          <t>Bento Gonçalves</t>
        </is>
      </c>
      <c r="C46" t="inlineStr">
        <is>
          <t>RS</t>
        </is>
      </c>
      <c r="D46" t="inlineStr">
        <is>
          <t>urbana</t>
        </is>
      </c>
      <c r="E46" t="inlineStr">
        <is>
          <t>[Record]</t>
        </is>
      </c>
    </row>
    <row r="47">
      <c r="A47" t="n">
        <v>46</v>
      </c>
      <c r="B47" t="inlineStr">
        <is>
          <t>Maringá</t>
        </is>
      </c>
      <c r="C47" t="inlineStr">
        <is>
          <t>PR</t>
        </is>
      </c>
      <c r="D47" t="inlineStr">
        <is>
          <t>urbana</t>
        </is>
      </c>
      <c r="E47" t="inlineStr">
        <is>
          <t>[Record]</t>
        </is>
      </c>
    </row>
    <row r="48">
      <c r="A48" t="n">
        <v>47</v>
      </c>
      <c r="B48" t="inlineStr">
        <is>
          <t>Caruaru</t>
        </is>
      </c>
      <c r="C48" t="inlineStr">
        <is>
          <t>PE</t>
        </is>
      </c>
      <c r="D48" t="inlineStr">
        <is>
          <t>urbana</t>
        </is>
      </c>
      <c r="E48" t="inlineStr">
        <is>
          <t>[Record]</t>
        </is>
      </c>
    </row>
    <row r="49">
      <c r="A49" t="n">
        <v>48</v>
      </c>
      <c r="B49" t="inlineStr">
        <is>
          <t>Blumenau</t>
        </is>
      </c>
      <c r="C49" t="inlineStr">
        <is>
          <t>SC</t>
        </is>
      </c>
      <c r="D49" t="inlineStr">
        <is>
          <t>urbana</t>
        </is>
      </c>
      <c r="E49" t="inlineStr">
        <is>
          <t>[Record]</t>
        </is>
      </c>
    </row>
    <row r="50">
      <c r="A50" t="n">
        <v>49</v>
      </c>
      <c r="B50" t="inlineStr">
        <is>
          <t>Petrópolis</t>
        </is>
      </c>
      <c r="C50" t="inlineStr">
        <is>
          <t>RJ</t>
        </is>
      </c>
      <c r="D50" t="inlineStr">
        <is>
          <t>urbana</t>
        </is>
      </c>
      <c r="E50" t="inlineStr">
        <is>
          <t>[Record]</t>
        </is>
      </c>
    </row>
    <row r="51">
      <c r="A51" t="n">
        <v>50</v>
      </c>
      <c r="B51" t="inlineStr">
        <is>
          <t>Petrolina</t>
        </is>
      </c>
      <c r="C51" t="inlineStr">
        <is>
          <t>PE</t>
        </is>
      </c>
      <c r="D51" t="inlineStr">
        <is>
          <t>urbana</t>
        </is>
      </c>
      <c r="E51" t="inlineStr">
        <is>
          <t>[Record]</t>
        </is>
      </c>
    </row>
    <row r="52">
      <c r="A52" t="n">
        <v>51</v>
      </c>
      <c r="B52" t="inlineStr">
        <is>
          <t>Cascavel</t>
        </is>
      </c>
      <c r="C52" t="inlineStr">
        <is>
          <t>PR</t>
        </is>
      </c>
      <c r="D52" t="inlineStr">
        <is>
          <t>urbana</t>
        </is>
      </c>
      <c r="E52" t="inlineStr">
        <is>
          <t>[Record]</t>
        </is>
      </c>
    </row>
    <row r="53">
      <c r="A53" t="n">
        <v>52</v>
      </c>
      <c r="B53" t="inlineStr">
        <is>
          <t>Santarém</t>
        </is>
      </c>
      <c r="C53" t="inlineStr">
        <is>
          <t>PA</t>
        </is>
      </c>
      <c r="D53" t="inlineStr">
        <is>
          <t>urbana</t>
        </is>
      </c>
      <c r="E53" t="inlineStr">
        <is>
          <t>[Record]</t>
        </is>
      </c>
    </row>
    <row r="54">
      <c r="A54" t="n">
        <v>53</v>
      </c>
      <c r="B54" t="inlineStr">
        <is>
          <t>Mogi das Cruzes</t>
        </is>
      </c>
      <c r="C54" t="inlineStr">
        <is>
          <t>SP</t>
        </is>
      </c>
      <c r="D54" t="inlineStr">
        <is>
          <t>urbana</t>
        </is>
      </c>
      <c r="E54" t="inlineStr">
        <is>
          <t>[Record]</t>
        </is>
      </c>
    </row>
    <row r="55">
      <c r="A55" t="n">
        <v>54</v>
      </c>
      <c r="B55" t="inlineStr">
        <is>
          <t>Chapecó</t>
        </is>
      </c>
      <c r="C55" t="inlineStr">
        <is>
          <t>SC</t>
        </is>
      </c>
      <c r="D55" t="inlineStr">
        <is>
          <t>urbana</t>
        </is>
      </c>
      <c r="E55" t="inlineStr">
        <is>
          <t>[Record]</t>
        </is>
      </c>
    </row>
    <row r="56">
      <c r="A56" t="n">
        <v>55</v>
      </c>
      <c r="B56" t="inlineStr">
        <is>
          <t>Olinda</t>
        </is>
      </c>
      <c r="C56" t="inlineStr">
        <is>
          <t>PE</t>
        </is>
      </c>
      <c r="D56" t="inlineStr">
        <is>
          <t>urbana</t>
        </is>
      </c>
      <c r="E56" t="inlineStr">
        <is>
          <t>[Record]</t>
        </is>
      </c>
    </row>
    <row r="57">
      <c r="A57" t="n">
        <v>56</v>
      </c>
      <c r="B57" t="inlineStr">
        <is>
          <t>Bauru</t>
        </is>
      </c>
      <c r="C57" t="inlineStr">
        <is>
          <t>SP</t>
        </is>
      </c>
      <c r="D57" t="inlineStr">
        <is>
          <t>urbana</t>
        </is>
      </c>
      <c r="E57" t="inlineStr">
        <is>
          <t>[Record]</t>
        </is>
      </c>
    </row>
    <row r="58">
      <c r="A58" t="n">
        <v>57</v>
      </c>
      <c r="B58" t="inlineStr">
        <is>
          <t>Canoas</t>
        </is>
      </c>
      <c r="C58" t="inlineStr">
        <is>
          <t>RS</t>
        </is>
      </c>
      <c r="D58" t="inlineStr">
        <is>
          <t>urbana</t>
        </is>
      </c>
      <c r="E58" t="inlineStr">
        <is>
          <t>[Record]</t>
        </is>
      </c>
    </row>
    <row r="59">
      <c r="A59" t="n">
        <v>58</v>
      </c>
      <c r="B59" t="inlineStr">
        <is>
          <t>Piracicaba</t>
        </is>
      </c>
      <c r="C59" t="inlineStr">
        <is>
          <t>SP</t>
        </is>
      </c>
      <c r="D59" t="inlineStr">
        <is>
          <t>urbana</t>
        </is>
      </c>
      <c r="E59" t="inlineStr">
        <is>
          <t>[Record]</t>
        </is>
      </c>
    </row>
    <row r="60">
      <c r="A60" t="n">
        <v>59</v>
      </c>
      <c r="B60" t="inlineStr">
        <is>
          <t>Duque de Caxias</t>
        </is>
      </c>
      <c r="C60" t="inlineStr">
        <is>
          <t>RJ</t>
        </is>
      </c>
      <c r="D60" t="inlineStr">
        <is>
          <t>urbana</t>
        </is>
      </c>
      <c r="E60" t="inlineStr">
        <is>
          <t>[Record]</t>
        </is>
      </c>
    </row>
    <row r="61">
      <c r="A61" t="n">
        <v>60</v>
      </c>
      <c r="B61" t="inlineStr">
        <is>
          <t>Santa Maria</t>
        </is>
      </c>
      <c r="C61" t="inlineStr">
        <is>
          <t>RS</t>
        </is>
      </c>
      <c r="D61" t="inlineStr">
        <is>
          <t>urbana</t>
        </is>
      </c>
      <c r="E61" t="inlineStr">
        <is>
          <t>[Record]</t>
        </is>
      </c>
    </row>
    <row r="62">
      <c r="A62" t="n">
        <v>61</v>
      </c>
      <c r="B62" t="inlineStr">
        <is>
          <t>Jundiaí</t>
        </is>
      </c>
      <c r="C62" t="inlineStr">
        <is>
          <t>SP</t>
        </is>
      </c>
      <c r="D62" t="inlineStr">
        <is>
          <t>urbana</t>
        </is>
      </c>
      <c r="E62" t="inlineStr">
        <is>
          <t>[Record]</t>
        </is>
      </c>
    </row>
    <row r="63">
      <c r="A63" t="n">
        <v>62</v>
      </c>
      <c r="B63" t="inlineStr">
        <is>
          <t>Caucaia</t>
        </is>
      </c>
      <c r="C63" t="inlineStr">
        <is>
          <t>CE</t>
        </is>
      </c>
      <c r="D63" t="inlineStr">
        <is>
          <t>urbana</t>
        </is>
      </c>
      <c r="E63" t="inlineStr">
        <is>
          <t>[Record]</t>
        </is>
      </c>
    </row>
    <row r="64">
      <c r="A64" t="n">
        <v>67</v>
      </c>
      <c r="B64" t="inlineStr">
        <is>
          <t>Contagem</t>
        </is>
      </c>
      <c r="C64" t="inlineStr">
        <is>
          <t>MG</t>
        </is>
      </c>
      <c r="D64" t="inlineStr">
        <is>
          <t>urbana</t>
        </is>
      </c>
      <c r="E64" t="inlineStr">
        <is>
          <t>[Record]</t>
        </is>
      </c>
    </row>
    <row r="65">
      <c r="A65" t="n">
        <v>63</v>
      </c>
      <c r="B65" t="inlineStr">
        <is>
          <t>Campina Grande</t>
        </is>
      </c>
      <c r="C65" t="inlineStr">
        <is>
          <t>PB</t>
        </is>
      </c>
      <c r="D65" t="inlineStr">
        <is>
          <t>urbana</t>
        </is>
      </c>
      <c r="E65" t="inlineStr">
        <is>
          <t>[Record]</t>
        </is>
      </c>
    </row>
    <row r="66">
      <c r="A66" t="n">
        <v>65</v>
      </c>
      <c r="B66" t="inlineStr">
        <is>
          <t>Vitória da Conquista</t>
        </is>
      </c>
      <c r="C66" t="inlineStr">
        <is>
          <t>BA</t>
        </is>
      </c>
      <c r="D66" t="inlineStr">
        <is>
          <t>urbana</t>
        </is>
      </c>
      <c r="E66" t="inlineStr">
        <is>
          <t>[Record]</t>
        </is>
      </c>
    </row>
    <row r="67">
      <c r="A67" t="n">
        <v>64</v>
      </c>
      <c r="B67" t="inlineStr">
        <is>
          <t>Guarulhos</t>
        </is>
      </c>
      <c r="C67" t="inlineStr">
        <is>
          <t>SP</t>
        </is>
      </c>
      <c r="D67" t="inlineStr">
        <is>
          <t>urbana</t>
        </is>
      </c>
      <c r="E67" t="inlineStr">
        <is>
          <t>[Record]</t>
        </is>
      </c>
    </row>
    <row r="68">
      <c r="A68" t="n">
        <v>66</v>
      </c>
      <c r="B68" t="inlineStr">
        <is>
          <t>Aparecida de Goiânia</t>
        </is>
      </c>
      <c r="C68" t="inlineStr">
        <is>
          <t>GO</t>
        </is>
      </c>
      <c r="D68" t="inlineStr">
        <is>
          <t>urbana</t>
        </is>
      </c>
      <c r="E68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0" workbookViewId="0">
      <selection activeCell="A1" sqref="A1:C32"/>
    </sheetView>
  </sheetViews>
  <sheetFormatPr baseColWidth="8" defaultRowHeight="15"/>
  <cols>
    <col width="36.42578125" bestFit="1" customWidth="1" min="1" max="1"/>
    <col width="38.7109375" bestFit="1" customWidth="1" min="2" max="2"/>
    <col width="13.5703125" bestFit="1" customWidth="1" min="3" max="3"/>
  </cols>
  <sheetData>
    <row r="1">
      <c r="A1" t="inlineStr">
        <is>
          <t>curso</t>
        </is>
      </c>
      <c r="B1" t="inlineStr">
        <is>
          <t>escola</t>
        </is>
      </c>
      <c r="C1" t="inlineStr">
        <is>
          <t>Nota média</t>
        </is>
      </c>
    </row>
    <row r="2">
      <c r="A2" t="inlineStr">
        <is>
          <t>Avaliação Geral de Desempenho</t>
        </is>
      </c>
      <c r="B2" t="inlineStr">
        <is>
          <t>Colégio Estadual de Rio Branco</t>
        </is>
      </c>
      <c r="C2" t="n">
        <v>8.409090909090908</v>
      </c>
    </row>
    <row r="3">
      <c r="A3" t="inlineStr">
        <is>
          <t>Técnico em Logística</t>
        </is>
      </c>
      <c r="B3" t="inlineStr">
        <is>
          <t>Colégio Estadual de Anápolis</t>
        </is>
      </c>
      <c r="C3" t="n">
        <v>8.5</v>
      </c>
    </row>
    <row r="4">
      <c r="A4" t="inlineStr">
        <is>
          <t>Ensino Fundamental II</t>
        </is>
      </c>
      <c r="B4" t="inlineStr">
        <is>
          <t>Escola Municipal de Vila Velha</t>
        </is>
      </c>
      <c r="C4" t="n">
        <v>9.199999999999999</v>
      </c>
    </row>
    <row r="5">
      <c r="A5" t="inlineStr">
        <is>
          <t>Robótica Educacional</t>
        </is>
      </c>
      <c r="B5" t="inlineStr">
        <is>
          <t>Centro de Ensino de Sorocaba</t>
        </is>
      </c>
      <c r="C5" t="n">
        <v>9.800000000000001</v>
      </c>
    </row>
    <row r="6">
      <c r="A6" t="inlineStr">
        <is>
          <t>Técnico em Edificações</t>
        </is>
      </c>
      <c r="B6" t="inlineStr">
        <is>
          <t>Instituto Federal de Mossoró</t>
        </is>
      </c>
      <c r="C6" t="n">
        <v>9</v>
      </c>
    </row>
    <row r="7">
      <c r="A7" t="inlineStr">
        <is>
          <t>Ensino Médio Regular</t>
        </is>
      </c>
      <c r="B7" t="inlineStr">
        <is>
          <t>Escola Estadual de São José dos Campos</t>
        </is>
      </c>
      <c r="C7" t="n">
        <v>7.2</v>
      </c>
    </row>
    <row r="8">
      <c r="A8" t="inlineStr">
        <is>
          <t>Técnico em Logística Portuária</t>
        </is>
      </c>
      <c r="B8" t="inlineStr">
        <is>
          <t>Centro de Ensino de Santos</t>
        </is>
      </c>
      <c r="C8" t="n">
        <v>9.199999999999999</v>
      </c>
    </row>
    <row r="9">
      <c r="A9" t="inlineStr">
        <is>
          <t>Ensino Médio Regular</t>
        </is>
      </c>
      <c r="B9" t="inlineStr">
        <is>
          <t>Escola Estadual de Montes Claros</t>
        </is>
      </c>
      <c r="C9" t="n">
        <v>7.5</v>
      </c>
    </row>
    <row r="10">
      <c r="A10" t="inlineStr">
        <is>
          <t>Técnico em Viticultura e Enologia</t>
        </is>
      </c>
      <c r="B10" t="inlineStr">
        <is>
          <t>Instituto Federal de Bento Gonçalves</t>
        </is>
      </c>
      <c r="C10" t="n">
        <v>9.800000000000001</v>
      </c>
    </row>
    <row r="11">
      <c r="A11" t="inlineStr">
        <is>
          <t>Educação de Jovens e Adultos (EJA)</t>
        </is>
      </c>
      <c r="B11" t="inlineStr">
        <is>
          <t>Colégio Estadual de Maringá</t>
        </is>
      </c>
      <c r="C11" t="n">
        <v>8</v>
      </c>
    </row>
    <row r="12">
      <c r="A12" t="inlineStr">
        <is>
          <t>Design de Moda e Artesanato</t>
        </is>
      </c>
      <c r="B12" t="inlineStr">
        <is>
          <t>Escola Municipal de Caruaru</t>
        </is>
      </c>
      <c r="C12" t="n">
        <v>8.699999999999999</v>
      </c>
    </row>
    <row r="13">
      <c r="A13" t="inlineStr">
        <is>
          <t>Desenvolvimento de Sistemas</t>
        </is>
      </c>
      <c r="B13" t="inlineStr">
        <is>
          <t>Colégio Estadual de Blumenau</t>
        </is>
      </c>
      <c r="C13" t="n">
        <v>8.5</v>
      </c>
    </row>
    <row r="14">
      <c r="A14" t="inlineStr">
        <is>
          <t>Guia de Turismo Regional</t>
        </is>
      </c>
      <c r="B14" t="inlineStr">
        <is>
          <t>Escola Municipal de Petrópolis</t>
        </is>
      </c>
      <c r="C14" t="n">
        <v>9.199999999999999</v>
      </c>
    </row>
    <row r="15">
      <c r="A15" t="inlineStr">
        <is>
          <t>Agropecuária</t>
        </is>
      </c>
      <c r="B15" t="inlineStr">
        <is>
          <t>Instituto Federal de Petrolina</t>
        </is>
      </c>
      <c r="C15" t="n">
        <v>9.800000000000001</v>
      </c>
    </row>
    <row r="16">
      <c r="A16" t="inlineStr">
        <is>
          <t>Inglês Instrumental</t>
        </is>
      </c>
      <c r="B16" t="inlineStr">
        <is>
          <t>Centro de Ensino de Cascavel</t>
        </is>
      </c>
      <c r="C16" t="n">
        <v>7.9</v>
      </c>
    </row>
    <row r="17">
      <c r="A17" t="inlineStr">
        <is>
          <t>Gestão Ambiental</t>
        </is>
      </c>
      <c r="B17" t="inlineStr">
        <is>
          <t>Escola Estadual de Santarém</t>
        </is>
      </c>
      <c r="C17" t="n">
        <v>8.199999999999999</v>
      </c>
    </row>
    <row r="18">
      <c r="A18" t="inlineStr">
        <is>
          <t>Desenvolvimento de Sistemas</t>
        </is>
      </c>
      <c r="B18" t="inlineStr">
        <is>
          <t>Centro de Ensino de Mogi das Cruzes</t>
        </is>
      </c>
      <c r="C18" t="n">
        <v>8.5</v>
      </c>
    </row>
    <row r="19">
      <c r="A19" t="inlineStr">
        <is>
          <t>Agropecuária</t>
        </is>
      </c>
      <c r="B19" t="inlineStr">
        <is>
          <t>Instituto Federal de Chapecó</t>
        </is>
      </c>
      <c r="C19" t="n">
        <v>9.199999999999999</v>
      </c>
    </row>
    <row r="20">
      <c r="A20" t="inlineStr">
        <is>
          <t>Turismo e Eventos</t>
        </is>
      </c>
      <c r="B20" t="inlineStr">
        <is>
          <t>Escola Estadual de Olinda</t>
        </is>
      </c>
      <c r="C20" t="n">
        <v>7</v>
      </c>
    </row>
    <row r="21">
      <c r="A21" t="inlineStr">
        <is>
          <t>Administração</t>
        </is>
      </c>
      <c r="B21" t="inlineStr">
        <is>
          <t>Colégio Estadual de Bauru</t>
        </is>
      </c>
      <c r="C21" t="n">
        <v>8</v>
      </c>
    </row>
    <row r="22">
      <c r="A22" t="inlineStr">
        <is>
          <t>Informática para Internet</t>
        </is>
      </c>
      <c r="B22" t="inlineStr">
        <is>
          <t>Escola Municipal de Canoas</t>
        </is>
      </c>
      <c r="C22" t="n">
        <v>8.800000000000001</v>
      </c>
    </row>
    <row r="23">
      <c r="A23" t="inlineStr">
        <is>
          <t>Técnico em Administração</t>
        </is>
      </c>
      <c r="B23" t="inlineStr">
        <is>
          <t>Centro de Ensino de Piracicaba</t>
        </is>
      </c>
      <c r="C23" t="n">
        <v>9.199999999999999</v>
      </c>
    </row>
    <row r="24">
      <c r="A24" t="inlineStr">
        <is>
          <t>Ensino Médio Integrado em Informática</t>
        </is>
      </c>
      <c r="B24" t="inlineStr">
        <is>
          <t>Escola Estadual de Duque de Caxias</t>
        </is>
      </c>
      <c r="C24" t="n">
        <v>7.5</v>
      </c>
    </row>
    <row r="25">
      <c r="A25" t="inlineStr">
        <is>
          <t>Técnico em Agropecuária</t>
        </is>
      </c>
      <c r="B25" t="inlineStr">
        <is>
          <t>Instituto Federal de Santa Maria</t>
        </is>
      </c>
      <c r="C25" t="n">
        <v>9.800000000000001</v>
      </c>
    </row>
    <row r="26">
      <c r="A26" t="inlineStr">
        <is>
          <t>Ensino Médio Regular</t>
        </is>
      </c>
      <c r="B26" t="inlineStr">
        <is>
          <t>Colégio Estadual de Jundiaí</t>
        </is>
      </c>
      <c r="C26" t="n">
        <v>8.1</v>
      </c>
    </row>
    <row r="27">
      <c r="A27" t="inlineStr">
        <is>
          <t>Ensino Fundamental II</t>
        </is>
      </c>
      <c r="B27" t="inlineStr">
        <is>
          <t>Escola Municipal de Caucaia</t>
        </is>
      </c>
      <c r="C27" t="n">
        <v>8.5</v>
      </c>
    </row>
    <row r="28">
      <c r="A28" t="inlineStr">
        <is>
          <t>Técnico em Informática</t>
        </is>
      </c>
      <c r="B28" t="inlineStr">
        <is>
          <t>Instituto Federal de Campina Grande</t>
        </is>
      </c>
      <c r="C28" t="n">
        <v>9.199999999999999</v>
      </c>
    </row>
    <row r="29">
      <c r="A29" t="inlineStr">
        <is>
          <t>Ensino Médio Regular</t>
        </is>
      </c>
      <c r="B29" t="inlineStr">
        <is>
          <t>Colégio Estadual de Guarulhos</t>
        </is>
      </c>
      <c r="C29" t="n">
        <v>7.5</v>
      </c>
    </row>
    <row r="30">
      <c r="A30" t="inlineStr">
        <is>
          <t>Educação de Jovens e Adultos (EJA)</t>
        </is>
      </c>
      <c r="B30" t="inlineStr">
        <is>
          <t>Escola Municipal de Vitória da Conquista</t>
        </is>
      </c>
      <c r="C30" t="n">
        <v>8.800000000000001</v>
      </c>
    </row>
    <row r="31">
      <c r="A31" t="inlineStr">
        <is>
          <t>Técnico em Administração</t>
        </is>
      </c>
      <c r="B31" t="inlineStr">
        <is>
          <t>Centro de Ensino de Aparecida de Goiânia</t>
        </is>
      </c>
      <c r="C31" t="n">
        <v>8</v>
      </c>
    </row>
    <row r="32">
      <c r="A32" t="inlineStr">
        <is>
          <t>Técnico em Meio Ambiente</t>
        </is>
      </c>
      <c r="B32" t="inlineStr">
        <is>
          <t>Escola Estadual de Contagem</t>
        </is>
      </c>
      <c r="C32" t="n">
        <v>6.4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tabSelected="0" workbookViewId="0">
      <selection activeCell="A1" sqref="A1:E54"/>
    </sheetView>
  </sheetViews>
  <sheetFormatPr baseColWidth="8" defaultRowHeight="15"/>
  <cols>
    <col width="5" bestFit="1" customWidth="1" min="1" max="1"/>
    <col width="38.7109375" bestFit="1" customWidth="1" min="2" max="2"/>
    <col width="81.140625" bestFit="1" customWidth="1" min="3" max="3"/>
    <col width="14.5703125" bestFit="1" customWidth="1" min="4" max="4"/>
    <col width="11.42578125" bestFit="1" customWidth="1" min="6" max="6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cargaHoraria</t>
        </is>
      </c>
      <c r="E1" t="inlineStr">
        <is>
          <t>escola</t>
        </is>
      </c>
    </row>
    <row r="2">
      <c r="A2" t="n">
        <v>1</v>
      </c>
      <c r="B2" t="inlineStr">
        <is>
          <t>Avaliação Geral de Desempenho</t>
        </is>
      </c>
      <c r="C2" t="inlineStr">
        <is>
          <t>Mapeamento Geral do Censo</t>
        </is>
      </c>
      <c r="D2" t="n">
        <v>120</v>
      </c>
      <c r="E2" t="inlineStr">
        <is>
          <t>[Record]</t>
        </is>
      </c>
    </row>
    <row r="3">
      <c r="A3" t="n">
        <v>51</v>
      </c>
      <c r="B3" t="inlineStr">
        <is>
          <t>Desenvolvimento Web Full Stack</t>
        </is>
      </c>
      <c r="C3" t="inlineStr">
        <is>
          <t>Formação completa em frontend com React/Angular e backend com Java Spring Boot.</t>
        </is>
      </c>
      <c r="D3" t="n">
        <v>360</v>
      </c>
      <c r="E3" t="inlineStr">
        <is>
          <t>[Record]</t>
        </is>
      </c>
    </row>
    <row r="4">
      <c r="A4" t="n">
        <v>52</v>
      </c>
      <c r="B4" t="inlineStr">
        <is>
          <t>Introdução a Ciência de Dados</t>
        </is>
      </c>
      <c r="C4" t="inlineStr">
        <is>
          <t>Análise exploratória de dados utilizando Python, Pandas e conceitos de ETL.</t>
        </is>
      </c>
      <c r="D4" t="n">
        <v>120</v>
      </c>
      <c r="E4" t="inlineStr">
        <is>
          <t>[Record]</t>
        </is>
      </c>
    </row>
    <row r="5">
      <c r="A5" t="n">
        <v>53</v>
      </c>
      <c r="B5" t="inlineStr">
        <is>
          <t>Técnico em Informática</t>
        </is>
      </c>
      <c r="C5" t="inlineStr">
        <is>
          <t>Fundamentos de computação, redes, arquitetura de sistemas e lógica de programação.</t>
        </is>
      </c>
      <c r="D5" t="n">
        <v>1200</v>
      </c>
      <c r="E5" t="inlineStr">
        <is>
          <t>[Record]</t>
        </is>
      </c>
    </row>
    <row r="6">
      <c r="A6" t="n">
        <v>54</v>
      </c>
      <c r="B6" t="inlineStr">
        <is>
          <t>Banco de Dados Relacional e SQL</t>
        </is>
      </c>
      <c r="C6" t="inlineStr">
        <is>
          <t>Modelagem de dados, normalização e escrita de queries avançadas em MySQL e PostgreSQL.</t>
        </is>
      </c>
      <c r="D6" t="n">
        <v>80</v>
      </c>
      <c r="E6" t="inlineStr">
        <is>
          <t>[Record]</t>
        </is>
      </c>
    </row>
    <row r="7">
      <c r="A7" t="n">
        <v>55</v>
      </c>
      <c r="B7" t="inlineStr">
        <is>
          <t>Estruturas de Dados com Java</t>
        </is>
      </c>
      <c r="C7" t="inlineStr">
        <is>
          <t>Programação orientada a objetos avançada, coleções, listas, árvores e ordenação.</t>
        </is>
      </c>
      <c r="D7" t="n">
        <v>90</v>
      </c>
      <c r="E7" t="inlineStr">
        <is>
          <t>[Record]</t>
        </is>
      </c>
    </row>
    <row r="8">
      <c r="A8" t="n">
        <v>56</v>
      </c>
      <c r="B8" t="inlineStr">
        <is>
          <t>DevOps e Engenharia de Cloud</t>
        </is>
      </c>
      <c r="C8" t="inlineStr">
        <is>
          <t>Configuração de ambientes portáveis com Docker, automação de servidores Linux e deploy no Render.</t>
        </is>
      </c>
      <c r="D8" t="n">
        <v>160</v>
      </c>
      <c r="E8" t="inlineStr">
        <is>
          <t>[Record]</t>
        </is>
      </c>
    </row>
    <row r="9">
      <c r="A9" t="n">
        <v>57</v>
      </c>
      <c r="B9" t="inlineStr">
        <is>
          <t>Sistemas de Informação - Introdução</t>
        </is>
      </c>
      <c r="C9" t="inlineStr">
        <is>
          <t>Visão geral sobre governança de TI, engenharia de software e análise de requisitos.</t>
        </is>
      </c>
      <c r="D9" t="n">
        <v>60</v>
      </c>
      <c r="E9" t="inlineStr">
        <is>
          <t>[Record]</t>
        </is>
      </c>
    </row>
    <row r="10">
      <c r="A10" t="n">
        <v>58</v>
      </c>
      <c r="B10" t="inlineStr">
        <is>
          <t>Desenvolvimento Mobile Híbrido</t>
        </is>
      </c>
      <c r="C10" t="inlineStr">
        <is>
          <t>Construção de aplicativos modernos multiplataforma para Android e iOS.</t>
        </is>
      </c>
      <c r="D10" t="n">
        <v>240</v>
      </c>
      <c r="E10" t="inlineStr">
        <is>
          <t>[Record]</t>
        </is>
      </c>
    </row>
    <row r="11">
      <c r="A11" t="n">
        <v>59</v>
      </c>
      <c r="B11" t="inlineStr">
        <is>
          <t>Fundamentos de Machine Learning</t>
        </is>
      </c>
      <c r="C11" t="inlineStr">
        <is>
          <t>Desenvolvimento e avaliação de modelos preditivos utilizando Scikit-Learn e inteligência artificial.</t>
        </is>
      </c>
      <c r="D11" t="n">
        <v>180</v>
      </c>
      <c r="E11" t="inlineStr">
        <is>
          <t>[Record]</t>
        </is>
      </c>
    </row>
    <row r="12">
      <c r="A12" t="n">
        <v>60</v>
      </c>
      <c r="B12" t="inlineStr">
        <is>
          <t>Administração de Sistemas Linux</t>
        </is>
      </c>
      <c r="C12" t="inlineStr">
        <is>
          <t>Gerenciamento de servidores, permissões de arquivos, scripts bash e segurança de redes.</t>
        </is>
      </c>
      <c r="D12" t="n">
        <v>100</v>
      </c>
      <c r="E12" t="inlineStr">
        <is>
          <t>[Record]</t>
        </is>
      </c>
    </row>
    <row r="13">
      <c r="A13" t="n">
        <v>61</v>
      </c>
      <c r="B13" t="inlineStr">
        <is>
          <t>Desenvolvimento de APIs RESTful</t>
        </is>
      </c>
      <c r="C13" t="inlineStr">
        <is>
          <t>Construção de serviços web robustos utilizando arquitetura de microsserviços e Spring Boot.</t>
        </is>
      </c>
      <c r="D13" t="n">
        <v>120</v>
      </c>
      <c r="E13" t="inlineStr">
        <is>
          <t>[Record]</t>
        </is>
      </c>
    </row>
    <row r="14">
      <c r="A14" t="n">
        <v>62</v>
      </c>
      <c r="B14" t="inlineStr">
        <is>
          <t>Interface e Experiência do Usuário (UI/UX)</t>
        </is>
      </c>
      <c r="C14" t="inlineStr">
        <is>
          <t>Fundamentos de design, prototipação de telas, usabilidade e comportamento do usuário na web.</t>
        </is>
      </c>
      <c r="D14" t="n">
        <v>80</v>
      </c>
      <c r="E14" t="inlineStr">
        <is>
          <t>[Record]</t>
        </is>
      </c>
    </row>
    <row r="15">
      <c r="A15" t="n">
        <v>63</v>
      </c>
      <c r="B15" t="inlineStr">
        <is>
          <t>Ensino Médio Integrado</t>
        </is>
      </c>
      <c r="C15" t="inlineStr">
        <is>
          <t>Ensino médio com foco em competências globais.</t>
        </is>
      </c>
      <c r="D15" t="n">
        <v>3200</v>
      </c>
      <c r="E15" t="inlineStr">
        <is>
          <t>[Record]</t>
        </is>
      </c>
    </row>
    <row r="16">
      <c r="A16" t="n">
        <v>64</v>
      </c>
      <c r="B16" t="inlineStr">
        <is>
          <t>Formação de Professores</t>
        </is>
      </c>
      <c r="C16" t="inlineStr">
        <is>
          <t>Curso normal em nível médio para magistério.</t>
        </is>
      </c>
      <c r="D16" t="n">
        <v>4000</v>
      </c>
      <c r="E16" t="inlineStr">
        <is>
          <t>[Record]</t>
        </is>
      </c>
    </row>
    <row r="17">
      <c r="A17" t="n">
        <v>65</v>
      </c>
      <c r="B17" t="inlineStr">
        <is>
          <t>Técnico em Informática</t>
        </is>
      </c>
      <c r="C17" t="inlineStr">
        <is>
          <t>Desenvolvimento de sistemas e redes.</t>
        </is>
      </c>
      <c r="D17" t="n">
        <v>1200</v>
      </c>
      <c r="E17" t="inlineStr">
        <is>
          <t>[Record]</t>
        </is>
      </c>
    </row>
    <row r="18">
      <c r="A18" t="n">
        <v>66</v>
      </c>
      <c r="B18" t="inlineStr">
        <is>
          <t>Ensino Fundamental II</t>
        </is>
      </c>
      <c r="C18" t="inlineStr">
        <is>
          <t>Educação básica do 6º ao 9º ano.</t>
        </is>
      </c>
      <c r="D18" t="n">
        <v>800</v>
      </c>
      <c r="E18" t="inlineStr">
        <is>
          <t>[Record]</t>
        </is>
      </c>
    </row>
    <row r="19">
      <c r="A19" t="n">
        <v>67</v>
      </c>
      <c r="B19" t="inlineStr">
        <is>
          <t>Ensino Médio Regular</t>
        </is>
      </c>
      <c r="C19" t="inlineStr">
        <is>
          <t>Base Nacional Comum Curricular completa.</t>
        </is>
      </c>
      <c r="D19" t="n">
        <v>3000</v>
      </c>
      <c r="E19" t="inlineStr">
        <is>
          <t>[Record]</t>
        </is>
      </c>
    </row>
    <row r="20">
      <c r="A20" t="n">
        <v>68</v>
      </c>
      <c r="B20" t="inlineStr">
        <is>
          <t>Ensino Médio Regular</t>
        </is>
      </c>
      <c r="C20" t="inlineStr">
        <is>
          <t>Formação geral básica com foco no ENEM</t>
        </is>
      </c>
      <c r="D20" t="n">
        <v>800</v>
      </c>
      <c r="E20" t="inlineStr">
        <is>
          <t>[Record]</t>
        </is>
      </c>
    </row>
    <row r="21">
      <c r="A21" t="n">
        <v>69</v>
      </c>
      <c r="B21" t="inlineStr">
        <is>
          <t>Técnico em Eletromecânica</t>
        </is>
      </c>
      <c r="C21" t="inlineStr">
        <is>
          <t>Curso técnico integrado ao ensino médio</t>
        </is>
      </c>
      <c r="D21" t="n">
        <v>1200</v>
      </c>
      <c r="E21" t="inlineStr">
        <is>
          <t>[Record]</t>
        </is>
      </c>
    </row>
    <row r="22">
      <c r="A22" t="n">
        <v>70</v>
      </c>
      <c r="B22" t="inlineStr">
        <is>
          <t>Magistério</t>
        </is>
      </c>
      <c r="C22" t="inlineStr">
        <is>
          <t>Formação de docentes para educação infantil</t>
        </is>
      </c>
      <c r="D22" t="n">
        <v>1000</v>
      </c>
      <c r="E22" t="inlineStr">
        <is>
          <t>[Record]</t>
        </is>
      </c>
    </row>
    <row r="23">
      <c r="A23" t="n">
        <v>71</v>
      </c>
      <c r="B23" t="inlineStr">
        <is>
          <t>Ensino Fundamental II</t>
        </is>
      </c>
      <c r="C23" t="inlineStr">
        <is>
          <t>Anos finais do ensino fundamental</t>
        </is>
      </c>
      <c r="D23" t="n">
        <v>900</v>
      </c>
      <c r="E23" t="inlineStr">
        <is>
          <t>[Record]</t>
        </is>
      </c>
    </row>
    <row r="24">
      <c r="A24" t="n">
        <v>72</v>
      </c>
      <c r="B24" t="inlineStr">
        <is>
          <t>Técnico em Informática</t>
        </is>
      </c>
      <c r="C24" t="inlineStr">
        <is>
          <t>Desenvolvimento de software e redes</t>
        </is>
      </c>
      <c r="D24" t="n">
        <v>1500</v>
      </c>
      <c r="E24" t="inlineStr">
        <is>
          <t>[Record]</t>
        </is>
      </c>
    </row>
    <row r="25">
      <c r="A25" t="n">
        <v>73</v>
      </c>
      <c r="B25" t="inlineStr">
        <is>
          <t>Técnico em Logística</t>
        </is>
      </c>
      <c r="C25" t="inlineStr">
        <is>
          <t>Capacita para gestão de estoque e transporte.</t>
        </is>
      </c>
      <c r="D25" t="n">
        <v>800</v>
      </c>
      <c r="E25" t="inlineStr">
        <is>
          <t>[Record]</t>
        </is>
      </c>
    </row>
    <row r="26">
      <c r="A26" t="n">
        <v>74</v>
      </c>
      <c r="B26" t="inlineStr">
        <is>
          <t>Ensino Fundamental II</t>
        </is>
      </c>
      <c r="C26" t="inlineStr">
        <is>
          <t>Formação integral do 6º ao 9º ano.</t>
        </is>
      </c>
      <c r="D26" t="n">
        <v>3200</v>
      </c>
      <c r="E26" t="inlineStr">
        <is>
          <t>[Record]</t>
        </is>
      </c>
    </row>
    <row r="27">
      <c r="A27" t="n">
        <v>75</v>
      </c>
      <c r="B27" t="inlineStr">
        <is>
          <t>Robótica Educacional</t>
        </is>
      </c>
      <c r="C27" t="inlineStr">
        <is>
          <t>Programação e montagem de projetos robóticos.</t>
        </is>
      </c>
      <c r="D27" t="n">
        <v>120</v>
      </c>
      <c r="E27" t="inlineStr">
        <is>
          <t>[Record]</t>
        </is>
      </c>
    </row>
    <row r="28">
      <c r="A28" t="n">
        <v>76</v>
      </c>
      <c r="B28" t="inlineStr">
        <is>
          <t>Técnico em Edificações</t>
        </is>
      </c>
      <c r="C28" t="inlineStr">
        <is>
          <t>Planejamento e execução de obras civis.</t>
        </is>
      </c>
      <c r="D28" t="n">
        <v>1200</v>
      </c>
      <c r="E28" t="inlineStr">
        <is>
          <t>[Record]</t>
        </is>
      </c>
    </row>
    <row r="29">
      <c r="A29" t="n">
        <v>77</v>
      </c>
      <c r="B29" t="inlineStr">
        <is>
          <t>Ensino Médio Regular</t>
        </is>
      </c>
      <c r="C29" t="inlineStr">
        <is>
          <t>Preparação básica para o vestibular e cidadania.</t>
        </is>
      </c>
      <c r="D29" t="n">
        <v>2400</v>
      </c>
      <c r="E29" t="inlineStr">
        <is>
          <t>[Record]</t>
        </is>
      </c>
    </row>
    <row r="30">
      <c r="A30" t="n">
        <v>78</v>
      </c>
      <c r="B30" t="inlineStr">
        <is>
          <t>Técnico em Logística Portuária</t>
        </is>
      </c>
      <c r="C30" t="inlineStr">
        <is>
          <t>Capacitação para gestão de fluxos de mercadorias em terminais portuários.</t>
        </is>
      </c>
      <c r="D30" t="n">
        <v>1200</v>
      </c>
      <c r="E30" t="inlineStr">
        <is>
          <t>[Record]</t>
        </is>
      </c>
    </row>
    <row r="31">
      <c r="A31" t="n">
        <v>79</v>
      </c>
      <c r="B31" t="inlineStr">
        <is>
          <t>Ensino Médio Regular</t>
        </is>
      </c>
      <c r="C31" t="inlineStr">
        <is>
          <t>Formação integral para o vestibular e o mercado de trabalho.</t>
        </is>
      </c>
      <c r="D31" t="n">
        <v>3000</v>
      </c>
      <c r="E31" t="inlineStr">
        <is>
          <t>[Record]</t>
        </is>
      </c>
    </row>
    <row r="32">
      <c r="A32" t="n">
        <v>80</v>
      </c>
      <c r="B32" t="inlineStr">
        <is>
          <t>Técnico em Viticultura e Enologia</t>
        </is>
      </c>
      <c r="C32" t="inlineStr">
        <is>
          <t>Estudo do cultivo de uvas e dos processos de fabricação de vinhos.</t>
        </is>
      </c>
      <c r="D32" t="n">
        <v>2400</v>
      </c>
      <c r="E32" t="inlineStr">
        <is>
          <t>[Record]</t>
        </is>
      </c>
    </row>
    <row r="33">
      <c r="A33" t="n">
        <v>81</v>
      </c>
      <c r="B33" t="inlineStr">
        <is>
          <t>Educação de Jovens e Adultos (EJA)</t>
        </is>
      </c>
      <c r="C33" t="inlineStr">
        <is>
          <t>Recuperação de estudos para jovens e adultos que não concluíram na idade certa.</t>
        </is>
      </c>
      <c r="D33" t="n">
        <v>1600</v>
      </c>
      <c r="E33" t="inlineStr">
        <is>
          <t>[Record]</t>
        </is>
      </c>
    </row>
    <row r="34">
      <c r="A34" t="n">
        <v>82</v>
      </c>
      <c r="B34" t="inlineStr">
        <is>
          <t>Design de Moda e Artesanato</t>
        </is>
      </c>
      <c r="C34" t="inlineStr">
        <is>
          <t>Curso técnico voltado para a produção têxtil e criativa da região.</t>
        </is>
      </c>
      <c r="D34" t="n">
        <v>1000</v>
      </c>
      <c r="E34" t="inlineStr">
        <is>
          <t>[Record]</t>
        </is>
      </c>
    </row>
    <row r="35">
      <c r="A35" t="n">
        <v>83</v>
      </c>
      <c r="B35" t="inlineStr">
        <is>
          <t>Desenvolvimento de Sistemas</t>
        </is>
      </c>
      <c r="C35" t="inlineStr">
        <is>
          <t>Capacitação técnica em programação, banco de dados e engenharia de software.</t>
        </is>
      </c>
      <c r="D35" t="n">
        <v>1200</v>
      </c>
      <c r="E35" t="inlineStr">
        <is>
          <t>[Record]</t>
        </is>
      </c>
    </row>
    <row r="36">
      <c r="A36" t="n">
        <v>84</v>
      </c>
      <c r="B36" t="inlineStr">
        <is>
          <t>Guia de Turismo Regional</t>
        </is>
      </c>
      <c r="C36" t="inlineStr">
        <is>
          <t>Formação para recepção e condução de turistas em roteiros históricos e ecológicos.</t>
        </is>
      </c>
      <c r="D36" t="n">
        <v>800</v>
      </c>
      <c r="E36" t="inlineStr">
        <is>
          <t>[Record]</t>
        </is>
      </c>
    </row>
    <row r="37">
      <c r="A37" t="n">
        <v>85</v>
      </c>
      <c r="B37" t="inlineStr">
        <is>
          <t>Agropecuária</t>
        </is>
      </c>
      <c r="C37" t="inlineStr">
        <is>
          <t>Técnicas de produção vegetal e animal com foco no Semiárido.</t>
        </is>
      </c>
      <c r="D37" t="n">
        <v>1400</v>
      </c>
      <c r="E37" t="inlineStr">
        <is>
          <t>[Record]</t>
        </is>
      </c>
    </row>
    <row r="38">
      <c r="A38" t="n">
        <v>86</v>
      </c>
      <c r="B38" t="inlineStr">
        <is>
          <t>Inglês Instrumental</t>
        </is>
      </c>
      <c r="C38" t="inlineStr">
        <is>
          <t>Curso focado em leitura e compreensão de textos técnicos em língua inglesa.</t>
        </is>
      </c>
      <c r="D38" t="n">
        <v>160</v>
      </c>
      <c r="E38" t="inlineStr">
        <is>
          <t>[Record]</t>
        </is>
      </c>
    </row>
    <row r="39">
      <c r="A39" t="n">
        <v>87</v>
      </c>
      <c r="B39" t="inlineStr">
        <is>
          <t>Gestão Ambiental</t>
        </is>
      </c>
      <c r="C39" t="inlineStr">
        <is>
          <t>Estudo de ecossistemas amazônicos e práticas de desenvolvimento sustentável.</t>
        </is>
      </c>
      <c r="D39" t="n">
        <v>1000</v>
      </c>
      <c r="E39" t="inlineStr">
        <is>
          <t>[Record]</t>
        </is>
      </c>
    </row>
    <row r="40">
      <c r="A40" t="n">
        <v>88</v>
      </c>
      <c r="B40" t="inlineStr">
        <is>
          <t>Desenvolvimento de Sistemas</t>
        </is>
      </c>
      <c r="C40" t="inlineStr">
        <is>
          <t>Foco em lógica de programação e banco de dados.</t>
        </is>
      </c>
      <c r="D40" t="n">
        <v>1200</v>
      </c>
      <c r="E40" t="inlineStr">
        <is>
          <t>[Record]</t>
        </is>
      </c>
    </row>
    <row r="41">
      <c r="A41" t="n">
        <v>89</v>
      </c>
      <c r="B41" t="inlineStr">
        <is>
          <t>Agropecuária</t>
        </is>
      </c>
      <c r="C41" t="inlineStr">
        <is>
          <t>Técnicas de manejo animal e produção vegetal sustentável.</t>
        </is>
      </c>
      <c r="D41" t="n">
        <v>1500</v>
      </c>
      <c r="E41" t="inlineStr">
        <is>
          <t>[Record]</t>
        </is>
      </c>
    </row>
    <row r="42">
      <c r="A42" t="n">
        <v>90</v>
      </c>
      <c r="B42" t="inlineStr">
        <is>
          <t>Turismo e Eventos</t>
        </is>
      </c>
      <c r="C42" t="inlineStr">
        <is>
          <t>Capacitação para recepção e organização de eventos culturais.</t>
        </is>
      </c>
      <c r="D42" t="n">
        <v>800</v>
      </c>
      <c r="E42" t="inlineStr">
        <is>
          <t>[Record]</t>
        </is>
      </c>
    </row>
    <row r="43">
      <c r="A43" t="n">
        <v>91</v>
      </c>
      <c r="B43" t="inlineStr">
        <is>
          <t>Administração</t>
        </is>
      </c>
      <c r="C43" t="inlineStr">
        <is>
          <t>Noções de gestão financeira, marketing e recursos humanos.</t>
        </is>
      </c>
      <c r="D43" t="n">
        <v>1000</v>
      </c>
      <c r="E43" t="inlineStr">
        <is>
          <t>[Record]</t>
        </is>
      </c>
    </row>
    <row r="44">
      <c r="A44" t="n">
        <v>92</v>
      </c>
      <c r="B44" t="inlineStr">
        <is>
          <t>Informática para Internet</t>
        </is>
      </c>
      <c r="C44" t="inlineStr">
        <is>
          <t>Criação de sites responsivos e gestão de redes sociais.</t>
        </is>
      </c>
      <c r="D44" t="n">
        <v>950</v>
      </c>
      <c r="E44" t="inlineStr">
        <is>
          <t>[Record]</t>
        </is>
      </c>
    </row>
    <row r="45">
      <c r="A45" t="n">
        <v>93</v>
      </c>
      <c r="B45" t="inlineStr">
        <is>
          <t>Técnico em Administração</t>
        </is>
      </c>
      <c r="C45" t="inlineStr">
        <is>
          <t>Capacitação profissional voltada para gestão de processos e negócios.</t>
        </is>
      </c>
      <c r="D45" t="n">
        <v>800</v>
      </c>
      <c r="E45" t="inlineStr">
        <is>
          <t>[Record]</t>
        </is>
      </c>
    </row>
    <row r="46">
      <c r="A46" t="n">
        <v>94</v>
      </c>
      <c r="B46" t="inlineStr">
        <is>
          <t>Ensino Médio Integrado em Informática</t>
        </is>
      </c>
      <c r="C46" t="inlineStr">
        <is>
          <t>Formação básica aliada ao suporte e manutenção de computadores.</t>
        </is>
      </c>
      <c r="D46" t="n">
        <v>1200</v>
      </c>
      <c r="E46" t="inlineStr">
        <is>
          <t>[Record]</t>
        </is>
      </c>
    </row>
    <row r="47">
      <c r="A47" t="n">
        <v>95</v>
      </c>
      <c r="B47" t="inlineStr">
        <is>
          <t>Técnico em Agropecuária</t>
        </is>
      </c>
      <c r="C47" t="inlineStr">
        <is>
          <t>Curso prático e teórico focado na produção vegetal e animal.</t>
        </is>
      </c>
      <c r="D47" t="n">
        <v>1600</v>
      </c>
      <c r="E47" t="inlineStr">
        <is>
          <t>[Record]</t>
        </is>
      </c>
    </row>
    <row r="48">
      <c r="A48" t="n">
        <v>96</v>
      </c>
      <c r="B48" t="inlineStr">
        <is>
          <t>Ensino Médio Regular</t>
        </is>
      </c>
      <c r="C48" t="inlineStr">
        <is>
          <t>Base Nacional Comum Curricular com ênfase em Ciências da Natureza.</t>
        </is>
      </c>
      <c r="D48" t="n">
        <v>3000</v>
      </c>
      <c r="E48" t="inlineStr">
        <is>
          <t>[Record]</t>
        </is>
      </c>
    </row>
    <row r="49">
      <c r="A49" t="n">
        <v>97</v>
      </c>
      <c r="B49" t="inlineStr">
        <is>
          <t>Ensino Fundamental II</t>
        </is>
      </c>
      <c r="C49" t="inlineStr">
        <is>
          <t>Anos finais do ensino fundamental com foco em letramento e cidadania.</t>
        </is>
      </c>
      <c r="D49" t="n">
        <v>4000</v>
      </c>
      <c r="E49" t="inlineStr">
        <is>
          <t>[Record]</t>
        </is>
      </c>
    </row>
    <row r="50">
      <c r="A50" t="n">
        <v>98</v>
      </c>
      <c r="B50" t="inlineStr">
        <is>
          <t>Técnico em Informática</t>
        </is>
      </c>
      <c r="C50" t="inlineStr">
        <is>
          <t>Curso focado em desenvolvimento de software e manutenção de redes.</t>
        </is>
      </c>
      <c r="D50" t="n">
        <v>1200</v>
      </c>
      <c r="E50" t="inlineStr">
        <is>
          <t>[Record]</t>
        </is>
      </c>
    </row>
    <row r="51">
      <c r="A51" t="n">
        <v>100</v>
      </c>
      <c r="B51" t="inlineStr">
        <is>
          <t>Educação de Jovens e Adultos (EJA)</t>
        </is>
      </c>
      <c r="C51" t="inlineStr">
        <is>
          <t>Alfabetização e conclusão do ensino fundamental para adultos.</t>
        </is>
      </c>
      <c r="D51" t="n">
        <v>800</v>
      </c>
      <c r="E51" t="inlineStr">
        <is>
          <t>[Record]</t>
        </is>
      </c>
    </row>
    <row r="52">
      <c r="A52" t="n">
        <v>99</v>
      </c>
      <c r="B52" t="inlineStr">
        <is>
          <t>Ensino Médio Regular</t>
        </is>
      </c>
      <c r="C52" t="inlineStr">
        <is>
          <t>Formação geral básica seguindo a BNCC.</t>
        </is>
      </c>
      <c r="D52" t="n">
        <v>3000</v>
      </c>
      <c r="E52" t="inlineStr">
        <is>
          <t>[Record]</t>
        </is>
      </c>
    </row>
    <row r="53">
      <c r="A53" t="n">
        <v>101</v>
      </c>
      <c r="B53" t="inlineStr">
        <is>
          <t>Técnico em Administração</t>
        </is>
      </c>
      <c r="C53" t="inlineStr">
        <is>
          <t>Gestão de processos organizacionais e recursos humanos.</t>
        </is>
      </c>
      <c r="D53" t="n">
        <v>1000</v>
      </c>
      <c r="E53" t="inlineStr">
        <is>
          <t>[Record]</t>
        </is>
      </c>
    </row>
    <row r="54">
      <c r="A54" t="n">
        <v>102</v>
      </c>
      <c r="B54" t="inlineStr">
        <is>
          <t>Técnico em Meio Ambiente</t>
        </is>
      </c>
      <c r="C54" t="inlineStr">
        <is>
          <t>Estudo de preservação ambiental e licenciamento.</t>
        </is>
      </c>
      <c r="D54" t="n">
        <v>1100</v>
      </c>
      <c r="E54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8"/>
  <sheetViews>
    <sheetView tabSelected="0" workbookViewId="0">
      <selection activeCell="A1" sqref="A1:C68"/>
    </sheetView>
  </sheetViews>
  <sheetFormatPr baseColWidth="8" defaultRowHeight="15"/>
  <cols>
    <col width="13.7109375" bestFit="1" customWidth="1" min="1" max="1"/>
    <col width="38.7109375" bestFit="1" customWidth="1" min="2" max="2"/>
    <col width="15.7109375" bestFit="1" customWidth="1" min="3" max="3"/>
    <col width="16.7109375" customWidth="1" min="4" max="4"/>
  </cols>
  <sheetData>
    <row r="1">
      <c r="A1" t="inlineStr">
        <is>
          <t>Column1.id</t>
        </is>
      </c>
      <c r="B1" t="inlineStr">
        <is>
          <t>Column1.nome</t>
        </is>
      </c>
      <c r="C1" t="inlineStr">
        <is>
          <t>Column1.tipo</t>
        </is>
      </c>
    </row>
    <row r="2">
      <c r="A2" t="n">
        <v>1</v>
      </c>
      <c r="B2" t="inlineStr">
        <is>
          <t>Colégio Estadual de Rio Branco</t>
        </is>
      </c>
      <c r="C2" t="inlineStr">
        <is>
          <t>Estadual</t>
        </is>
      </c>
    </row>
    <row r="3">
      <c r="A3" t="n">
        <v>2</v>
      </c>
      <c r="B3" t="inlineStr">
        <is>
          <t>Escola Municipal de Maceió</t>
        </is>
      </c>
      <c r="C3" t="inlineStr">
        <is>
          <t>Pública</t>
        </is>
      </c>
    </row>
    <row r="4">
      <c r="A4" t="n">
        <v>3</v>
      </c>
      <c r="B4" t="inlineStr">
        <is>
          <t>Colégio Estadual de Macapá</t>
        </is>
      </c>
      <c r="C4" t="inlineStr">
        <is>
          <t>Estadual</t>
        </is>
      </c>
    </row>
    <row r="5">
      <c r="A5" t="n">
        <v>4</v>
      </c>
      <c r="B5" t="inlineStr">
        <is>
          <t>Escola Municipal de Manaus</t>
        </is>
      </c>
      <c r="C5" t="inlineStr">
        <is>
          <t>Pública</t>
        </is>
      </c>
    </row>
    <row r="6">
      <c r="A6" t="n">
        <v>5</v>
      </c>
      <c r="B6" t="inlineStr">
        <is>
          <t>Colégio Estadual de Salvador</t>
        </is>
      </c>
      <c r="C6" t="inlineStr">
        <is>
          <t>Estadual</t>
        </is>
      </c>
    </row>
    <row r="7">
      <c r="A7" t="n">
        <v>6</v>
      </c>
      <c r="B7" t="inlineStr">
        <is>
          <t>Escola Municipal de Fortaleza</t>
        </is>
      </c>
      <c r="C7" t="inlineStr">
        <is>
          <t>Pública</t>
        </is>
      </c>
    </row>
    <row r="8">
      <c r="A8" t="n">
        <v>7</v>
      </c>
      <c r="B8" t="inlineStr">
        <is>
          <t>Centro de Ensino de Brasília</t>
        </is>
      </c>
      <c r="C8" t="inlineStr">
        <is>
          <t>Técnica</t>
        </is>
      </c>
    </row>
    <row r="9">
      <c r="A9" t="n">
        <v>8</v>
      </c>
      <c r="B9" t="inlineStr">
        <is>
          <t>Colégio Estadual de Vitória</t>
        </is>
      </c>
      <c r="C9" t="inlineStr">
        <is>
          <t>Estadual</t>
        </is>
      </c>
    </row>
    <row r="10">
      <c r="A10" t="n">
        <v>9</v>
      </c>
      <c r="B10" t="inlineStr">
        <is>
          <t>Escola Municipal de Goiânia</t>
        </is>
      </c>
      <c r="C10" t="inlineStr">
        <is>
          <t>Pública</t>
        </is>
      </c>
    </row>
    <row r="11">
      <c r="A11" t="n">
        <v>10</v>
      </c>
      <c r="B11" t="inlineStr">
        <is>
          <t>Colégio Estadual de São Luís</t>
        </is>
      </c>
      <c r="C11" t="inlineStr">
        <is>
          <t>Estadual</t>
        </is>
      </c>
    </row>
    <row r="12">
      <c r="A12" t="n">
        <v>11</v>
      </c>
      <c r="B12" t="inlineStr">
        <is>
          <t>Escola Municipal de Cuiabá</t>
        </is>
      </c>
      <c r="C12" t="inlineStr">
        <is>
          <t>Pública</t>
        </is>
      </c>
    </row>
    <row r="13">
      <c r="A13" t="n">
        <v>12</v>
      </c>
      <c r="B13" t="inlineStr">
        <is>
          <t>Colégio Estadual de Campo Grande</t>
        </is>
      </c>
      <c r="C13" t="inlineStr">
        <is>
          <t>Estadual</t>
        </is>
      </c>
    </row>
    <row r="14">
      <c r="A14" t="n">
        <v>13</v>
      </c>
      <c r="B14" t="inlineStr">
        <is>
          <t>Escola Municipal de Belo Horizonte</t>
        </is>
      </c>
      <c r="C14" t="inlineStr">
        <is>
          <t>Pública</t>
        </is>
      </c>
    </row>
    <row r="15">
      <c r="A15" t="n">
        <v>14</v>
      </c>
      <c r="B15" t="inlineStr">
        <is>
          <t>Colégio Estadual de Belém</t>
        </is>
      </c>
      <c r="C15" t="inlineStr">
        <is>
          <t>Estadual</t>
        </is>
      </c>
    </row>
    <row r="16">
      <c r="A16" t="n">
        <v>15</v>
      </c>
      <c r="B16" t="inlineStr">
        <is>
          <t>Escola Municipal de João Pessoa</t>
        </is>
      </c>
      <c r="C16" t="inlineStr">
        <is>
          <t>Pública</t>
        </is>
      </c>
    </row>
    <row r="17">
      <c r="A17" t="n">
        <v>16</v>
      </c>
      <c r="B17" t="inlineStr">
        <is>
          <t>Colégio Estadual de Curitiba</t>
        </is>
      </c>
      <c r="C17" t="inlineStr">
        <is>
          <t>Estadual</t>
        </is>
      </c>
    </row>
    <row r="18">
      <c r="A18" t="n">
        <v>17</v>
      </c>
      <c r="B18" t="inlineStr">
        <is>
          <t>Escola Municipal de Recife</t>
        </is>
      </c>
      <c r="C18" t="inlineStr">
        <is>
          <t>Pública</t>
        </is>
      </c>
    </row>
    <row r="19">
      <c r="A19" t="n">
        <v>18</v>
      </c>
      <c r="B19" t="inlineStr">
        <is>
          <t>Colégio Estadual de Teresina</t>
        </is>
      </c>
      <c r="C19" t="inlineStr">
        <is>
          <t>Estadual</t>
        </is>
      </c>
    </row>
    <row r="20">
      <c r="A20" t="n">
        <v>19</v>
      </c>
      <c r="B20" t="inlineStr">
        <is>
          <t>Escola Municipal do Rio de Janeiro</t>
        </is>
      </c>
      <c r="C20" t="inlineStr">
        <is>
          <t>Pública</t>
        </is>
      </c>
    </row>
    <row r="21">
      <c r="A21" t="n">
        <v>20</v>
      </c>
      <c r="B21" t="inlineStr">
        <is>
          <t>Colégio Estadual de Natal</t>
        </is>
      </c>
      <c r="C21" t="inlineStr">
        <is>
          <t>Estadual</t>
        </is>
      </c>
    </row>
    <row r="22">
      <c r="A22" t="n">
        <v>21</v>
      </c>
      <c r="B22" t="inlineStr">
        <is>
          <t>Escola Municipal de Porto Alegre</t>
        </is>
      </c>
      <c r="C22" t="inlineStr">
        <is>
          <t>Pública</t>
        </is>
      </c>
    </row>
    <row r="23">
      <c r="A23" t="n">
        <v>22</v>
      </c>
      <c r="B23" t="inlineStr">
        <is>
          <t>Colégio Estadual de Porto Velho</t>
        </is>
      </c>
      <c r="C23" t="inlineStr">
        <is>
          <t>Estadual</t>
        </is>
      </c>
    </row>
    <row r="24">
      <c r="A24" t="n">
        <v>23</v>
      </c>
      <c r="B24" t="inlineStr">
        <is>
          <t>Escola Municipal de Boa Vista</t>
        </is>
      </c>
      <c r="C24" t="inlineStr">
        <is>
          <t>Pública</t>
        </is>
      </c>
    </row>
    <row r="25">
      <c r="A25" t="n">
        <v>24</v>
      </c>
      <c r="B25" t="inlineStr">
        <is>
          <t>Colégio Estadual de Florianópolis</t>
        </is>
      </c>
      <c r="C25" t="inlineStr">
        <is>
          <t>Estadual</t>
        </is>
      </c>
    </row>
    <row r="26">
      <c r="A26" t="n">
        <v>25</v>
      </c>
      <c r="B26" t="inlineStr">
        <is>
          <t>Escola Municipal de São Paulo</t>
        </is>
      </c>
      <c r="C26" t="inlineStr">
        <is>
          <t>Pública</t>
        </is>
      </c>
    </row>
    <row r="27">
      <c r="A27" t="n">
        <v>26</v>
      </c>
      <c r="B27" t="inlineStr">
        <is>
          <t>Colégio Estadual de Aracaju</t>
        </is>
      </c>
      <c r="C27" t="inlineStr">
        <is>
          <t>Estadual</t>
        </is>
      </c>
    </row>
    <row r="28">
      <c r="A28" t="n">
        <v>27</v>
      </c>
      <c r="B28" t="inlineStr">
        <is>
          <t>Escola Municipal de Palmas</t>
        </is>
      </c>
      <c r="C28" t="inlineStr">
        <is>
          <t>Pública</t>
        </is>
      </c>
    </row>
    <row r="29">
      <c r="A29" t="n">
        <v>83</v>
      </c>
      <c r="B29" t="inlineStr">
        <is>
          <t>Centro de Ensino de Campinas</t>
        </is>
      </c>
      <c r="C29" t="inlineStr">
        <is>
          <t>Privada</t>
        </is>
      </c>
    </row>
    <row r="30">
      <c r="A30" t="n">
        <v>84</v>
      </c>
      <c r="B30" t="inlineStr">
        <is>
          <t>Escola Estadual de Niterói</t>
        </is>
      </c>
      <c r="C30" t="inlineStr">
        <is>
          <t>Estadual</t>
        </is>
      </c>
    </row>
    <row r="31">
      <c r="A31" t="n">
        <v>85</v>
      </c>
      <c r="B31" t="inlineStr">
        <is>
          <t>Instituto Federal de Uberlândia</t>
        </is>
      </c>
      <c r="C31" t="inlineStr">
        <is>
          <t>Federal</t>
        </is>
      </c>
    </row>
    <row r="32">
      <c r="A32" t="n">
        <v>86</v>
      </c>
      <c r="B32" t="inlineStr">
        <is>
          <t>Escola Municipal de Londrina</t>
        </is>
      </c>
      <c r="C32" t="inlineStr">
        <is>
          <t>Municipal</t>
        </is>
      </c>
    </row>
    <row r="33">
      <c r="A33" t="n">
        <v>87</v>
      </c>
      <c r="B33" t="inlineStr">
        <is>
          <t>Colégio Estadual de Joinville</t>
        </is>
      </c>
      <c r="C33" t="inlineStr">
        <is>
          <t>Estadual</t>
        </is>
      </c>
    </row>
    <row r="34">
      <c r="A34" t="n">
        <v>88</v>
      </c>
      <c r="B34" t="inlineStr">
        <is>
          <t>Escola Estadual de Ribeirão Preto</t>
        </is>
      </c>
      <c r="C34" t="inlineStr">
        <is>
          <t>Estadual</t>
        </is>
      </c>
    </row>
    <row r="35">
      <c r="A35" t="n">
        <v>89</v>
      </c>
      <c r="B35" t="inlineStr">
        <is>
          <t>Colégio Estadual de Caxias do Sul</t>
        </is>
      </c>
      <c r="C35" t="inlineStr">
        <is>
          <t>Estadual</t>
        </is>
      </c>
    </row>
    <row r="36">
      <c r="A36" t="n">
        <v>90</v>
      </c>
      <c r="B36" t="inlineStr">
        <is>
          <t>Centro de Ensino de Juiz de Fora</t>
        </is>
      </c>
      <c r="C36" t="inlineStr">
        <is>
          <t>Pública</t>
        </is>
      </c>
    </row>
    <row r="37">
      <c r="A37" t="n">
        <v>91</v>
      </c>
      <c r="B37" t="inlineStr">
        <is>
          <t>Escola Municipal de Feira de Santana</t>
        </is>
      </c>
      <c r="C37" t="inlineStr">
        <is>
          <t>Municipal</t>
        </is>
      </c>
    </row>
    <row r="38">
      <c r="A38" t="n">
        <v>92</v>
      </c>
      <c r="B38" t="inlineStr">
        <is>
          <t>Instituto Federal de Pelotas</t>
        </is>
      </c>
      <c r="C38" t="inlineStr">
        <is>
          <t>Federal</t>
        </is>
      </c>
    </row>
    <row r="39">
      <c r="A39" t="n">
        <v>93</v>
      </c>
      <c r="B39" t="inlineStr">
        <is>
          <t>Colégio Estadual de Anápolis</t>
        </is>
      </c>
      <c r="C39" t="inlineStr">
        <is>
          <t>Estadual</t>
        </is>
      </c>
    </row>
    <row r="40">
      <c r="A40" t="n">
        <v>94</v>
      </c>
      <c r="B40" t="inlineStr">
        <is>
          <t>Escola Municipal de Vila Velha</t>
        </is>
      </c>
      <c r="C40" t="inlineStr">
        <is>
          <t>Municipal</t>
        </is>
      </c>
    </row>
    <row r="41">
      <c r="A41" t="n">
        <v>95</v>
      </c>
      <c r="B41" t="inlineStr">
        <is>
          <t>Centro de Ensino de Sorocaba</t>
        </is>
      </c>
      <c r="C41" t="inlineStr">
        <is>
          <t>Privada</t>
        </is>
      </c>
    </row>
    <row r="42">
      <c r="A42" t="n">
        <v>96</v>
      </c>
      <c r="B42" t="inlineStr">
        <is>
          <t>Instituto Federal de Mossoró</t>
        </is>
      </c>
      <c r="C42" t="inlineStr">
        <is>
          <t>Federal</t>
        </is>
      </c>
    </row>
    <row r="43">
      <c r="A43" t="n">
        <v>97</v>
      </c>
      <c r="B43" t="inlineStr">
        <is>
          <t>Escola Estadual de São José dos Campos</t>
        </is>
      </c>
      <c r="C43" t="inlineStr">
        <is>
          <t>Estadual</t>
        </is>
      </c>
    </row>
    <row r="44">
      <c r="A44" t="n">
        <v>98</v>
      </c>
      <c r="B44" t="inlineStr">
        <is>
          <t>Centro de Ensino de Santos</t>
        </is>
      </c>
      <c r="C44" t="inlineStr">
        <is>
          <t>Estadual</t>
        </is>
      </c>
    </row>
    <row r="45">
      <c r="A45" t="n">
        <v>99</v>
      </c>
      <c r="B45" t="inlineStr">
        <is>
          <t>Escola Estadual de Montes Claros</t>
        </is>
      </c>
      <c r="C45" t="inlineStr">
        <is>
          <t>Estadual</t>
        </is>
      </c>
    </row>
    <row r="46">
      <c r="A46" t="n">
        <v>100</v>
      </c>
      <c r="B46" t="inlineStr">
        <is>
          <t>Instituto Federal de Bento Gonçalves</t>
        </is>
      </c>
      <c r="C46" t="inlineStr">
        <is>
          <t>Federal</t>
        </is>
      </c>
    </row>
    <row r="47">
      <c r="A47" t="n">
        <v>101</v>
      </c>
      <c r="B47" t="inlineStr">
        <is>
          <t>Colégio Estadual de Maringá</t>
        </is>
      </c>
      <c r="C47" t="inlineStr">
        <is>
          <t>Estadual</t>
        </is>
      </c>
    </row>
    <row r="48">
      <c r="A48" t="n">
        <v>102</v>
      </c>
      <c r="B48" t="inlineStr">
        <is>
          <t>Escola Municipal de Caruaru</t>
        </is>
      </c>
      <c r="C48" t="inlineStr">
        <is>
          <t>Municipal</t>
        </is>
      </c>
    </row>
    <row r="49">
      <c r="A49" t="n">
        <v>103</v>
      </c>
      <c r="B49" t="inlineStr">
        <is>
          <t>Colégio Estadual de Blumenau</t>
        </is>
      </c>
      <c r="C49" t="inlineStr">
        <is>
          <t>Estadual</t>
        </is>
      </c>
    </row>
    <row r="50">
      <c r="A50" t="n">
        <v>104</v>
      </c>
      <c r="B50" t="inlineStr">
        <is>
          <t>Escola Municipal de Petrópolis</t>
        </is>
      </c>
      <c r="C50" t="inlineStr">
        <is>
          <t>Municipal</t>
        </is>
      </c>
    </row>
    <row r="51">
      <c r="A51" t="n">
        <v>105</v>
      </c>
      <c r="B51" t="inlineStr">
        <is>
          <t>Instituto Federal de Petrolina</t>
        </is>
      </c>
      <c r="C51" t="inlineStr">
        <is>
          <t>Federal</t>
        </is>
      </c>
    </row>
    <row r="52">
      <c r="A52" t="n">
        <v>106</v>
      </c>
      <c r="B52" t="inlineStr">
        <is>
          <t>Centro de Ensino de Cascavel</t>
        </is>
      </c>
      <c r="C52" t="inlineStr">
        <is>
          <t>Privada</t>
        </is>
      </c>
    </row>
    <row r="53">
      <c r="A53" t="n">
        <v>107</v>
      </c>
      <c r="B53" t="inlineStr">
        <is>
          <t>Escola Estadual de Santarém</t>
        </is>
      </c>
      <c r="C53" t="inlineStr">
        <is>
          <t>Estadual</t>
        </is>
      </c>
    </row>
    <row r="54">
      <c r="A54" t="n">
        <v>108</v>
      </c>
      <c r="B54" t="inlineStr">
        <is>
          <t>Centro de Ensino de Mogi das Cruzes</t>
        </is>
      </c>
      <c r="C54" t="inlineStr">
        <is>
          <t>Estadual</t>
        </is>
      </c>
    </row>
    <row r="55">
      <c r="A55" t="n">
        <v>109</v>
      </c>
      <c r="B55" t="inlineStr">
        <is>
          <t>Instituto Federal de Chapecó</t>
        </is>
      </c>
      <c r="C55" t="inlineStr">
        <is>
          <t>Federal</t>
        </is>
      </c>
    </row>
    <row r="56">
      <c r="A56" t="n">
        <v>110</v>
      </c>
      <c r="B56" t="inlineStr">
        <is>
          <t>Escola Estadual de Olinda</t>
        </is>
      </c>
      <c r="C56" t="inlineStr">
        <is>
          <t>Estadual</t>
        </is>
      </c>
    </row>
    <row r="57">
      <c r="A57" t="n">
        <v>111</v>
      </c>
      <c r="B57" t="inlineStr">
        <is>
          <t>Colégio Estadual de Bauru</t>
        </is>
      </c>
      <c r="C57" t="inlineStr">
        <is>
          <t>Estadual</t>
        </is>
      </c>
    </row>
    <row r="58">
      <c r="A58" t="n">
        <v>112</v>
      </c>
      <c r="B58" t="inlineStr">
        <is>
          <t>Escola Municipal de Canoas</t>
        </is>
      </c>
      <c r="C58" t="inlineStr">
        <is>
          <t>Municipal</t>
        </is>
      </c>
    </row>
    <row r="59">
      <c r="A59" t="n">
        <v>113</v>
      </c>
      <c r="B59" t="inlineStr">
        <is>
          <t>Centro de Ensino de Piracicaba</t>
        </is>
      </c>
      <c r="C59" t="inlineStr">
        <is>
          <t>Privada</t>
        </is>
      </c>
    </row>
    <row r="60">
      <c r="A60" t="n">
        <v>114</v>
      </c>
      <c r="B60" t="inlineStr">
        <is>
          <t>Escola Estadual de Duque de Caxias</t>
        </is>
      </c>
      <c r="C60" t="inlineStr">
        <is>
          <t>Estadual</t>
        </is>
      </c>
    </row>
    <row r="61">
      <c r="A61" t="n">
        <v>115</v>
      </c>
      <c r="B61" t="inlineStr">
        <is>
          <t>Instituto Federal de Santa Maria</t>
        </is>
      </c>
      <c r="C61" t="inlineStr">
        <is>
          <t>Federal</t>
        </is>
      </c>
    </row>
    <row r="62">
      <c r="A62" t="n">
        <v>116</v>
      </c>
      <c r="B62" t="inlineStr">
        <is>
          <t>Colégio Estadual de Jundiaí</t>
        </is>
      </c>
      <c r="C62" t="inlineStr">
        <is>
          <t>Estadual</t>
        </is>
      </c>
    </row>
    <row r="63">
      <c r="A63" t="n">
        <v>117</v>
      </c>
      <c r="B63" t="inlineStr">
        <is>
          <t>Escola Municipal de Caucaia</t>
        </is>
      </c>
      <c r="C63" t="inlineStr">
        <is>
          <t>Municipal</t>
        </is>
      </c>
    </row>
    <row r="64">
      <c r="A64" t="n">
        <v>118</v>
      </c>
      <c r="B64" t="inlineStr">
        <is>
          <t>Instituto Federal de Campina Grande</t>
        </is>
      </c>
      <c r="C64" t="inlineStr">
        <is>
          <t>Federal</t>
        </is>
      </c>
    </row>
    <row r="65">
      <c r="A65" t="n">
        <v>119</v>
      </c>
      <c r="B65" t="inlineStr">
        <is>
          <t>Colégio Estadual de Guarulhos</t>
        </is>
      </c>
      <c r="C65" t="inlineStr">
        <is>
          <t>Estadual</t>
        </is>
      </c>
    </row>
    <row r="66">
      <c r="A66" t="n">
        <v>120</v>
      </c>
      <c r="B66" t="inlineStr">
        <is>
          <t>Escola Municipal de Vitória da Conquista</t>
        </is>
      </c>
      <c r="C66" t="inlineStr">
        <is>
          <t>Municipal</t>
        </is>
      </c>
    </row>
    <row r="67">
      <c r="A67" t="n">
        <v>121</v>
      </c>
      <c r="B67" t="inlineStr">
        <is>
          <t>Centro de Ensino de Aparecida de Goiânia</t>
        </is>
      </c>
      <c r="C67" t="inlineStr">
        <is>
          <t>Pública</t>
        </is>
      </c>
    </row>
    <row r="68">
      <c r="A68" t="n">
        <v>122</v>
      </c>
      <c r="B68" t="inlineStr">
        <is>
          <t>Escola Estadual de Contagem</t>
        </is>
      </c>
      <c r="C68" t="inlineStr">
        <is>
          <t>Estadual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"/>
  <sheetViews>
    <sheetView tabSelected="0" workbookViewId="0">
      <selection activeCell="B2" sqref="B2"/>
    </sheetView>
  </sheetViews>
  <sheetFormatPr baseColWidth="8" defaultRowHeight="15"/>
  <cols>
    <col width="13.7109375" bestFit="1" customWidth="1" min="1" max="1"/>
    <col width="30.85546875" bestFit="1" customWidth="1" min="2" max="2"/>
    <col width="25" bestFit="1" customWidth="1" min="3" max="3"/>
    <col width="81.140625" bestFit="1" customWidth="1" min="4" max="4"/>
    <col width="18" bestFit="1" customWidth="1" min="5" max="5"/>
    <col width="11.42578125" bestFit="1" customWidth="1" min="6" max="6"/>
  </cols>
  <sheetData>
    <row r="1">
      <c r="A1" t="inlineStr">
        <is>
          <t>Column1.id</t>
        </is>
      </c>
      <c r="B1" t="inlineStr">
        <is>
          <t>Column1.nome</t>
        </is>
      </c>
      <c r="C1" t="inlineStr">
        <is>
          <t>Column1.especialidade</t>
        </is>
      </c>
      <c r="D1" t="inlineStr">
        <is>
          <t>Column1.biografia</t>
        </is>
      </c>
      <c r="E1" t="inlineStr">
        <is>
          <t>Column1.escola</t>
        </is>
      </c>
    </row>
    <row r="2">
      <c r="A2" t="n">
        <v>1</v>
      </c>
      <c r="B2" t="inlineStr">
        <is>
          <t>Coordenação Nacional de Dados</t>
        </is>
      </c>
      <c r="C2" t="inlineStr">
        <is>
          <t>Indicadores Nacionais</t>
        </is>
      </c>
    </row>
    <row r="3">
      <c r="A3" t="n">
        <v>2</v>
      </c>
      <c r="B3" t="inlineStr">
        <is>
          <t>Ricardo Silva Santos</t>
        </is>
      </c>
      <c r="C3" t="inlineStr">
        <is>
          <t>Matemática Aplicada</t>
        </is>
      </c>
      <c r="D3" t="inlineStr">
        <is>
          <t>Mestre em Estatística com 10 anos de experiência no ensino técnico.</t>
        </is>
      </c>
      <c r="E3" t="inlineStr">
        <is>
          <t>[Record]</t>
        </is>
      </c>
    </row>
    <row r="4">
      <c r="A4" t="n">
        <v>3</v>
      </c>
      <c r="B4" t="inlineStr">
        <is>
          <t>Helena Costa Ferreira</t>
        </is>
      </c>
      <c r="C4" t="inlineStr">
        <is>
          <t>Logística</t>
        </is>
      </c>
      <c r="D4" t="inlineStr">
        <is>
          <t>Especialista em Supply Chain com vivência em grandes centros de distribuição.</t>
        </is>
      </c>
      <c r="E4" t="inlineStr">
        <is>
          <t>[Record]</t>
        </is>
      </c>
    </row>
    <row r="5">
      <c r="A5" t="n">
        <v>4</v>
      </c>
      <c r="B5" t="inlineStr">
        <is>
          <t>Juliana Mendes</t>
        </is>
      </c>
      <c r="C5" t="inlineStr">
        <is>
          <t>Língua Portuguesa</t>
        </is>
      </c>
      <c r="D5" t="inlineStr">
        <is>
          <t>Doutora em Linguística e apaixonada por literatura infantojuvenil.</t>
        </is>
      </c>
      <c r="E5" t="inlineStr">
        <is>
          <t>[Record]</t>
        </is>
      </c>
    </row>
    <row r="6">
      <c r="A6" t="n">
        <v>5</v>
      </c>
      <c r="B6" t="inlineStr">
        <is>
          <t>Marcos Oliveira</t>
        </is>
      </c>
      <c r="C6" t="inlineStr">
        <is>
          <t>História</t>
        </is>
      </c>
      <c r="D6" t="inlineStr">
        <is>
          <t>Pesquisador da história regional capixaba com 15 anos de sala de aula.</t>
        </is>
      </c>
      <c r="E6" t="inlineStr">
        <is>
          <t>[Record]</t>
        </is>
      </c>
    </row>
    <row r="7">
      <c r="A7" t="n">
        <v>6</v>
      </c>
      <c r="B7" t="inlineStr">
        <is>
          <t>Felipe Rocha</t>
        </is>
      </c>
      <c r="C7" t="inlineStr">
        <is>
          <t>Física</t>
        </is>
      </c>
      <c r="D7" t="inlineStr">
        <is>
          <t>Engenheiro Mecatrônico com especialização em educação tecnológica.</t>
        </is>
      </c>
      <c r="E7" t="inlineStr">
        <is>
          <t>[Record]</t>
        </is>
      </c>
    </row>
    <row r="8">
      <c r="A8" t="n">
        <v>7</v>
      </c>
      <c r="B8" t="inlineStr">
        <is>
          <t>Camila Souza</t>
        </is>
      </c>
      <c r="C8" t="inlineStr">
        <is>
          <t>Informática</t>
        </is>
      </c>
      <c r="D8" t="inlineStr">
        <is>
          <t>Desenvolvedora de software com foco em metodologias ágeis aplicadas ao ensino.</t>
        </is>
      </c>
      <c r="E8" t="inlineStr">
        <is>
          <t>[Record]</t>
        </is>
      </c>
    </row>
    <row r="9">
      <c r="A9" t="n">
        <v>8</v>
      </c>
      <c r="B9" t="inlineStr">
        <is>
          <t>André Santos Lima</t>
        </is>
      </c>
      <c r="C9" t="inlineStr">
        <is>
          <t>Construção Civil</t>
        </is>
      </c>
      <c r="D9" t="inlineStr">
        <is>
          <t>Mestre em Engenharia Civil com vasta experiência em canteiros de obra.</t>
        </is>
      </c>
      <c r="E9" t="inlineStr">
        <is>
          <t>[Record]</t>
        </is>
      </c>
    </row>
    <row r="10">
      <c r="A10" t="n">
        <v>9</v>
      </c>
      <c r="B10" t="inlineStr">
        <is>
          <t>Patrícia Bezerra</t>
        </is>
      </c>
      <c r="C10" t="inlineStr">
        <is>
          <t>Arquitetura</t>
        </is>
      </c>
      <c r="D10" t="inlineStr">
        <is>
          <t>Arquiteta e urbanista focada em construções sustentáveis no semiárido.</t>
        </is>
      </c>
      <c r="E10" t="inlineStr">
        <is>
          <t>[Record]</t>
        </is>
      </c>
    </row>
    <row r="11">
      <c r="A11" t="n">
        <v>10</v>
      </c>
      <c r="B11" t="inlineStr">
        <is>
          <t>Bruna Guedes</t>
        </is>
      </c>
      <c r="C11" t="inlineStr">
        <is>
          <t>Biologia</t>
        </is>
      </c>
      <c r="D11" t="inlineStr">
        <is>
          <t>Bióloga com especialização em ecologia e educação ambiental.</t>
        </is>
      </c>
      <c r="E11" t="inlineStr">
        <is>
          <t>[Record]</t>
        </is>
      </c>
    </row>
    <row r="12">
      <c r="A12" t="n">
        <v>11</v>
      </c>
      <c r="B12" t="inlineStr">
        <is>
          <t>Thiago Martins</t>
        </is>
      </c>
      <c r="C12" t="inlineStr">
        <is>
          <t>Química</t>
        </is>
      </c>
      <c r="D12" t="inlineStr">
        <is>
          <t>Licenciado em Química com experiência em cursinhos pré-vestibulares.</t>
        </is>
      </c>
      <c r="E12" t="inlineStr">
        <is>
          <t>[Record]</t>
        </is>
      </c>
    </row>
    <row r="13">
      <c r="A13" t="n">
        <v>12</v>
      </c>
      <c r="B13" t="inlineStr">
        <is>
          <t>Ricardo Pereira Silva</t>
        </is>
      </c>
      <c r="C13" t="inlineStr">
        <is>
          <t>Logística</t>
        </is>
      </c>
      <c r="D13" t="inlineStr">
        <is>
          <t>Mestre em Engenharia de Produção com 10 anos de experiência no Porto de Santos.</t>
        </is>
      </c>
      <c r="E13" t="inlineStr">
        <is>
          <t>[Record]</t>
        </is>
      </c>
    </row>
    <row r="14">
      <c r="A14" t="n">
        <v>13</v>
      </c>
      <c r="B14" t="inlineStr">
        <is>
          <t>Ana Paula Costa</t>
        </is>
      </c>
      <c r="C14" t="inlineStr">
        <is>
          <t>Administração</t>
        </is>
      </c>
      <c r="D14" t="inlineStr">
        <is>
          <t>Graduada em Administração com especialização em Comércio Exterior.</t>
        </is>
      </c>
      <c r="E14" t="inlineStr">
        <is>
          <t>[Record]</t>
        </is>
      </c>
    </row>
    <row r="15">
      <c r="A15" t="n">
        <v>14</v>
      </c>
      <c r="B15" t="inlineStr">
        <is>
          <t>Marcos Oliveira Meira</t>
        </is>
      </c>
      <c r="C15" t="inlineStr">
        <is>
          <t>Física</t>
        </is>
      </c>
      <c r="D15" t="inlineStr">
        <is>
          <t>Licenciado em Física pela UNIMONTES com vasta experiência em pré-vestibulares.</t>
        </is>
      </c>
      <c r="E15" t="inlineStr">
        <is>
          <t>[Record]</t>
        </is>
      </c>
    </row>
    <row r="16">
      <c r="A16" t="n">
        <v>15</v>
      </c>
      <c r="B16" t="inlineStr">
        <is>
          <t>Juliana Souza Lima</t>
        </is>
      </c>
      <c r="C16" t="inlineStr">
        <is>
          <t>Português</t>
        </is>
      </c>
      <c r="D16" t="inlineStr">
        <is>
          <t>Especialista em Literatura Brasileira e revisora de textos acadêmicos.</t>
        </is>
      </c>
      <c r="E16" t="inlineStr">
        <is>
          <t>[Record]</t>
        </is>
      </c>
    </row>
    <row r="17">
      <c r="A17" t="n">
        <v>16</v>
      </c>
      <c r="B17" t="inlineStr">
        <is>
          <t>Carlos Schmidt</t>
        </is>
      </c>
      <c r="C17" t="inlineStr">
        <is>
          <t>Química</t>
        </is>
      </c>
      <c r="D17" t="inlineStr">
        <is>
          <t>Doutor em Enologia pela Universidade de Bordeaux, França.</t>
        </is>
      </c>
      <c r="E17" t="inlineStr">
        <is>
          <t>[Record]</t>
        </is>
      </c>
    </row>
    <row r="18">
      <c r="A18" t="n">
        <v>17</v>
      </c>
      <c r="B18" t="inlineStr">
        <is>
          <t>Helena de Souza</t>
        </is>
      </c>
      <c r="C18" t="inlineStr">
        <is>
          <t>Agronomia</t>
        </is>
      </c>
      <c r="D18" t="inlineStr">
        <is>
          <t>Engenheira Agrônoma focada em agricultura familiar e sustentável.</t>
        </is>
      </c>
      <c r="E18" t="inlineStr">
        <is>
          <t>[Record]</t>
        </is>
      </c>
    </row>
    <row r="19">
      <c r="A19" t="n">
        <v>18</v>
      </c>
      <c r="B19" t="inlineStr">
        <is>
          <t>Fernando dos Santos</t>
        </is>
      </c>
      <c r="C19" t="inlineStr">
        <is>
          <t>História</t>
        </is>
      </c>
      <c r="D19" t="inlineStr">
        <is>
          <t>Historiador com pós-graduação em Educação para Jovens e Adultos.</t>
        </is>
      </c>
      <c r="E19" t="inlineStr">
        <is>
          <t>[Record]</t>
        </is>
      </c>
    </row>
    <row r="20">
      <c r="A20" t="n">
        <v>19</v>
      </c>
      <c r="B20" t="inlineStr">
        <is>
          <t>Beatriz Lima</t>
        </is>
      </c>
      <c r="C20" t="inlineStr">
        <is>
          <t>Matemática</t>
        </is>
      </c>
      <c r="D20" t="inlineStr">
        <is>
          <t>Professora de matemática com foco em educação financeira básica.</t>
        </is>
      </c>
      <c r="E20" t="inlineStr">
        <is>
          <t>[Record]</t>
        </is>
      </c>
    </row>
    <row r="21">
      <c r="A21" t="n">
        <v>20</v>
      </c>
      <c r="B21" t="inlineStr">
        <is>
          <t>Eduardo Rocha</t>
        </is>
      </c>
      <c r="C21" t="inlineStr">
        <is>
          <t>Artes</t>
        </is>
      </c>
      <c r="D21" t="inlineStr">
        <is>
          <t>Artista plástico com foco em xilogravura e cultura popular.</t>
        </is>
      </c>
      <c r="E21" t="inlineStr">
        <is>
          <t>[Record]</t>
        </is>
      </c>
    </row>
    <row r="22">
      <c r="A22" t="n">
        <v>21</v>
      </c>
      <c r="B22" t="inlineStr">
        <is>
          <t>Patrícia Gomes</t>
        </is>
      </c>
      <c r="C22" t="inlineStr">
        <is>
          <t>Design</t>
        </is>
      </c>
      <c r="D22" t="inlineStr">
        <is>
          <t>Designer de moda com experiência em modelagem industrial.</t>
        </is>
      </c>
      <c r="E22" t="inlineStr">
        <is>
          <t>[Record]</t>
        </is>
      </c>
    </row>
    <row r="23">
      <c r="A23" t="n">
        <v>22</v>
      </c>
      <c r="B23" t="inlineStr">
        <is>
          <t>Ricardo Almeida</t>
        </is>
      </c>
      <c r="C23" t="inlineStr">
        <is>
          <t>Matemática</t>
        </is>
      </c>
      <c r="D23" t="inlineStr">
        <is>
          <t>Mestre em Matemática Pura com 10 anos de experiência no ensino médio e técnico.</t>
        </is>
      </c>
      <c r="E23" t="inlineStr">
        <is>
          <t>[Record]</t>
        </is>
      </c>
    </row>
    <row r="24">
      <c r="A24" t="n">
        <v>23</v>
      </c>
      <c r="B24" t="inlineStr">
        <is>
          <t>Sandra Souza</t>
        </is>
      </c>
      <c r="C24" t="inlineStr">
        <is>
          <t>Informática</t>
        </is>
      </c>
      <c r="D24" t="inlineStr">
        <is>
          <t>Especialista em Engenharia de Software e desenvolvedora full-stack há 8 anos.</t>
        </is>
      </c>
      <c r="E24" t="inlineStr">
        <is>
          <t>[Record]</t>
        </is>
      </c>
    </row>
    <row r="25">
      <c r="A25" t="n">
        <v>24</v>
      </c>
      <c r="B25" t="inlineStr">
        <is>
          <t>Cláudio Mendes</t>
        </is>
      </c>
      <c r="C25" t="inlineStr">
        <is>
          <t>História</t>
        </is>
      </c>
      <c r="D25" t="inlineStr">
        <is>
          <t>Doutor em História do Brasil Império e autor de livros didáticos sobre a região serrana.</t>
        </is>
      </c>
      <c r="E25" t="inlineStr">
        <is>
          <t>[Record]</t>
        </is>
      </c>
    </row>
    <row r="26">
      <c r="A26" t="n">
        <v>25</v>
      </c>
      <c r="B26" t="inlineStr">
        <is>
          <t>Patrícia Lima</t>
        </is>
      </c>
      <c r="C26" t="inlineStr">
        <is>
          <t>Geografia</t>
        </is>
      </c>
      <c r="D26" t="inlineStr">
        <is>
          <t>Geógrafa com foco em ecoturismo e gestão de unidades de conservação ambiental.</t>
        </is>
      </c>
      <c r="E26" t="inlineStr">
        <is>
          <t>[Record]</t>
        </is>
      </c>
    </row>
    <row r="27">
      <c r="A27" t="n">
        <v>26</v>
      </c>
      <c r="B27" t="inlineStr">
        <is>
          <t>Marcos Oliveira</t>
        </is>
      </c>
      <c r="C27" t="inlineStr">
        <is>
          <t>Biologia</t>
        </is>
      </c>
      <c r="D27" t="inlineStr">
        <is>
          <t>Mestre em Botânica com vasta experiência em fisiologia vegetal e solos.</t>
        </is>
      </c>
      <c r="E27" t="inlineStr">
        <is>
          <t>[Record]</t>
        </is>
      </c>
    </row>
    <row r="28">
      <c r="A28" t="n">
        <v>27</v>
      </c>
      <c r="B28" t="inlineStr">
        <is>
          <t>Fernanda Costa</t>
        </is>
      </c>
      <c r="C28" t="inlineStr">
        <is>
          <t>Agronomia</t>
        </is>
      </c>
      <c r="D28" t="inlineStr">
        <is>
          <t>Doutora em Irrigação e Drenagem, com foco em tecnologias sustentáveis para o Sertão.</t>
        </is>
      </c>
      <c r="E28" t="inlineStr">
        <is>
          <t>[Record]</t>
        </is>
      </c>
    </row>
    <row r="29">
      <c r="A29" t="n">
        <v>28</v>
      </c>
      <c r="B29" t="inlineStr">
        <is>
          <t>Juliana Ferreira</t>
        </is>
      </c>
      <c r="C29" t="inlineStr">
        <is>
          <t>Inglês</t>
        </is>
      </c>
      <c r="D29" t="inlineStr">
        <is>
          <t>Tradutora e intérprete com certificação internacional de proficiência pela Cambridge.</t>
        </is>
      </c>
      <c r="E29" t="inlineStr">
        <is>
          <t>[Record]</t>
        </is>
      </c>
    </row>
    <row r="30">
      <c r="A30" t="n">
        <v>29</v>
      </c>
      <c r="B30" t="inlineStr">
        <is>
          <t>Roberto Rocha</t>
        </is>
      </c>
      <c r="C30" t="inlineStr">
        <is>
          <t>Português</t>
        </is>
      </c>
      <c r="D30" t="inlineStr">
        <is>
          <t>Especialista em Gramática e Literatura Brasileira, focado em redação para o ENEM.</t>
        </is>
      </c>
      <c r="E30" t="inlineStr">
        <is>
          <t>[Record]</t>
        </is>
      </c>
    </row>
    <row r="31">
      <c r="A31" t="n">
        <v>30</v>
      </c>
      <c r="B31" t="inlineStr">
        <is>
          <t>Luiz Gonzaga</t>
        </is>
      </c>
      <c r="C31" t="inlineStr">
        <is>
          <t>Química</t>
        </is>
      </c>
      <c r="D31" t="inlineStr">
        <is>
          <t>Mestre em Química Ambiental com foco em análise de qualidade de águas fluviais.</t>
        </is>
      </c>
      <c r="E31" t="inlineStr">
        <is>
          <t>[Record]</t>
        </is>
      </c>
    </row>
    <row r="32">
      <c r="A32" t="n">
        <v>31</v>
      </c>
      <c r="B32" t="inlineStr">
        <is>
          <t>Ana Paula Vieira</t>
        </is>
      </c>
      <c r="C32" t="inlineStr">
        <is>
          <t>Ecologia</t>
        </is>
      </c>
      <c r="D32" t="inlineStr">
        <is>
          <t>Bióloga com 12 anos de atuação em projetos de conservação na Floresta Nacional do Tapajós.</t>
        </is>
      </c>
      <c r="E32" t="inlineStr">
        <is>
          <t>[Record]</t>
        </is>
      </c>
    </row>
    <row r="33">
      <c r="A33" t="n">
        <v>32</v>
      </c>
      <c r="B33" t="inlineStr">
        <is>
          <t>Ricardo Mendes Silva</t>
        </is>
      </c>
      <c r="C33" t="inlineStr">
        <is>
          <t>Matemática</t>
        </is>
      </c>
      <c r="D33" t="inlineStr">
        <is>
          <t>Mestre em Matemática Aplicada com 15 anos de experiência no ensino médio.</t>
        </is>
      </c>
      <c r="E33" t="inlineStr">
        <is>
          <t>[Record]</t>
        </is>
      </c>
    </row>
    <row r="34">
      <c r="A34" t="n">
        <v>33</v>
      </c>
      <c r="B34" t="inlineStr">
        <is>
          <t>Ana Paula Rocha</t>
        </is>
      </c>
      <c r="C34" t="inlineStr">
        <is>
          <t>Português</t>
        </is>
      </c>
      <c r="D34" t="inlineStr">
        <is>
          <t>Doutora em Linguística e autora de diversos artigos sobre literatura contemporânea.</t>
        </is>
      </c>
      <c r="E34" t="inlineStr">
        <is>
          <t>[Record]</t>
        </is>
      </c>
    </row>
    <row r="35">
      <c r="A35" t="n">
        <v>34</v>
      </c>
      <c r="B35" t="inlineStr">
        <is>
          <t>Fernando Souza</t>
        </is>
      </c>
      <c r="C35" t="inlineStr">
        <is>
          <t>Agronomia</t>
        </is>
      </c>
      <c r="D35" t="inlineStr">
        <is>
          <t>Especialista em solos e produção de grãos com vasta experiência em extensão rural.</t>
        </is>
      </c>
      <c r="E35" t="inlineStr">
        <is>
          <t>[Record]</t>
        </is>
      </c>
    </row>
    <row r="36">
      <c r="A36" t="n">
        <v>35</v>
      </c>
      <c r="B36" t="inlineStr">
        <is>
          <t>Mariana Luz</t>
        </is>
      </c>
      <c r="C36" t="inlineStr">
        <is>
          <t>Biologia</t>
        </is>
      </c>
      <c r="D36" t="inlineStr">
        <is>
          <t>Mestre em Ecologia focada na preservação da biodiversidade local.</t>
        </is>
      </c>
      <c r="E36" t="inlineStr">
        <is>
          <t>[Record]</t>
        </is>
      </c>
    </row>
    <row r="37">
      <c r="A37" t="n">
        <v>36</v>
      </c>
      <c r="B37" t="inlineStr">
        <is>
          <t>Beatriz Cavalcanti</t>
        </is>
      </c>
      <c r="C37" t="inlineStr">
        <is>
          <t>Artes</t>
        </is>
      </c>
      <c r="D37" t="inlineStr">
        <is>
          <t>Artista plástica com pós-graduação em Arte-Educação e Cultura Popular.</t>
        </is>
      </c>
      <c r="E37" t="inlineStr">
        <is>
          <t>[Record]</t>
        </is>
      </c>
    </row>
    <row r="38">
      <c r="A38" t="n">
        <v>37</v>
      </c>
      <c r="B38" t="inlineStr">
        <is>
          <t>João Ferreira</t>
        </is>
      </c>
      <c r="C38" t="inlineStr">
        <is>
          <t>Geografia</t>
        </is>
      </c>
      <c r="D38" t="inlineStr">
        <is>
          <t>Geógrafo com mestrado em Planejamento Urbano e Gestão de Riscos.</t>
        </is>
      </c>
      <c r="E38" t="inlineStr">
        <is>
          <t>[Record]</t>
        </is>
      </c>
    </row>
    <row r="39">
      <c r="A39" t="n">
        <v>38</v>
      </c>
      <c r="B39" t="inlineStr">
        <is>
          <t>Marcos Antônio Lima</t>
        </is>
      </c>
      <c r="C39" t="inlineStr">
        <is>
          <t>História</t>
        </is>
      </c>
      <c r="D39" t="inlineStr">
        <is>
          <t>Historiador com 20 anos de sala de aula e pesquisador da história paulista.</t>
        </is>
      </c>
      <c r="E39" t="inlineStr">
        <is>
          <t>[Record]</t>
        </is>
      </c>
    </row>
    <row r="40">
      <c r="A40" t="n">
        <v>39</v>
      </c>
      <c r="B40" t="inlineStr">
        <is>
          <t>Cláudia Regina</t>
        </is>
      </c>
      <c r="C40" t="inlineStr">
        <is>
          <t>Sociologia</t>
        </is>
      </c>
      <c r="D40" t="inlineStr">
        <is>
          <t>Cientista Social especialista em políticas públicas e juventude.</t>
        </is>
      </c>
      <c r="E40" t="inlineStr">
        <is>
          <t>[Record]</t>
        </is>
      </c>
    </row>
    <row r="41">
      <c r="A41" t="n">
        <v>40</v>
      </c>
      <c r="B41" t="inlineStr">
        <is>
          <t>Igor Ferreira</t>
        </is>
      </c>
      <c r="C41" t="inlineStr">
        <is>
          <t>Física</t>
        </is>
      </c>
      <c r="D41" t="inlineStr">
        <is>
          <t>Físico e engenheiro com mestrado em Ensino de Ciências.</t>
        </is>
      </c>
      <c r="E41" t="inlineStr">
        <is>
          <t>[Record]</t>
        </is>
      </c>
    </row>
    <row r="42">
      <c r="A42" t="n">
        <v>41</v>
      </c>
      <c r="B42" t="inlineStr">
        <is>
          <t>Letícia Duarte</t>
        </is>
      </c>
      <c r="C42" t="inlineStr">
        <is>
          <t>Inglês</t>
        </is>
      </c>
      <c r="D42" t="inlineStr">
        <is>
          <t>Tradutora com especialização em ensino de línguas para jovens e adultos.</t>
        </is>
      </c>
      <c r="E42" t="inlineStr">
        <is>
          <t>[Record]</t>
        </is>
      </c>
    </row>
    <row r="43">
      <c r="A43" t="n">
        <v>42</v>
      </c>
      <c r="B43" t="inlineStr">
        <is>
          <t>Maria Helena Oliveira</t>
        </is>
      </c>
      <c r="C43" t="inlineStr">
        <is>
          <t>Matemática Financeira</t>
        </is>
      </c>
      <c r="D43" t="inlineStr">
        <is>
          <t>Doutora em Economia com 15 anos de experiência no setor bancário.</t>
        </is>
      </c>
      <c r="E43" t="inlineStr">
        <is>
          <t>[Record]</t>
        </is>
      </c>
    </row>
    <row r="44">
      <c r="A44" t="n">
        <v>43</v>
      </c>
      <c r="B44" t="inlineStr">
        <is>
          <t>Carlos Alberto Silva</t>
        </is>
      </c>
      <c r="C44" t="inlineStr">
        <is>
          <t>Gestão de Pessoas</t>
        </is>
      </c>
      <c r="D44" t="inlineStr">
        <is>
          <t>Mestre em Recursos Humanos e consultor organizacional há uma década.</t>
        </is>
      </c>
      <c r="E44" t="inlineStr">
        <is>
          <t>[Record]</t>
        </is>
      </c>
    </row>
    <row r="45">
      <c r="A45" t="n">
        <v>44</v>
      </c>
      <c r="B45" t="inlineStr">
        <is>
          <t>Ana Cláudia Souza</t>
        </is>
      </c>
      <c r="C45" t="inlineStr">
        <is>
          <t>Português Instrumental</t>
        </is>
      </c>
      <c r="D45" t="inlineStr">
        <is>
          <t>Licenciada em Letras pela USP com foco em comunicação empresarial.</t>
        </is>
      </c>
      <c r="E45" t="inlineStr">
        <is>
          <t>[Record]</t>
        </is>
      </c>
    </row>
    <row r="46">
      <c r="A46" t="n">
        <v>46</v>
      </c>
      <c r="B46" t="inlineStr">
        <is>
          <t>Juliana Costa</t>
        </is>
      </c>
      <c r="C46" t="inlineStr">
        <is>
          <t>Sociologia do Trabalho</t>
        </is>
      </c>
      <c r="D46" t="inlineStr">
        <is>
          <t>Socióloga com vasta pesquisa sobre as transformações no mercado laboral.</t>
        </is>
      </c>
      <c r="E46" t="inlineStr">
        <is>
          <t>[Record]</t>
        </is>
      </c>
    </row>
    <row r="47">
      <c r="A47" t="n">
        <v>48</v>
      </c>
      <c r="B47" t="inlineStr">
        <is>
          <t>Luciana Dias</t>
        </is>
      </c>
      <c r="C47" t="inlineStr">
        <is>
          <t>Física</t>
        </is>
      </c>
      <c r="D47" t="inlineStr">
        <is>
          <t>Mestre em Física Aplicada pela UFRJ com foco em ensino médio.</t>
        </is>
      </c>
      <c r="E47" t="inlineStr">
        <is>
          <t>[Record]</t>
        </is>
      </c>
    </row>
    <row r="48">
      <c r="A48" t="n">
        <v>50</v>
      </c>
      <c r="B48" t="inlineStr">
        <is>
          <t>Beatriz Nunes</t>
        </is>
      </c>
      <c r="C48" t="inlineStr">
        <is>
          <t>Geografia</t>
        </is>
      </c>
      <c r="D48" t="inlineStr">
        <is>
          <t>Geógrafa com experiência em cartografia digital e geoprocessamento.</t>
        </is>
      </c>
      <c r="E48" t="inlineStr">
        <is>
          <t>[Record]</t>
        </is>
      </c>
    </row>
    <row r="49">
      <c r="A49" t="n">
        <v>52</v>
      </c>
      <c r="B49" t="inlineStr">
        <is>
          <t>Gustavo Santos</t>
        </is>
      </c>
      <c r="C49" t="inlineStr">
        <is>
          <t>Agronomia</t>
        </is>
      </c>
      <c r="D49" t="inlineStr">
        <is>
          <t>Doutor em Fitotecnia com experiência em agricultura de precisão.</t>
        </is>
      </c>
      <c r="E49" t="inlineStr">
        <is>
          <t>[Record]</t>
        </is>
      </c>
    </row>
    <row r="50">
      <c r="A50" t="n">
        <v>54</v>
      </c>
      <c r="B50" t="inlineStr">
        <is>
          <t>Thiago Mendes</t>
        </is>
      </c>
      <c r="C50" t="inlineStr">
        <is>
          <t>Zootecnia</t>
        </is>
      </c>
      <c r="D50" t="inlineStr">
        <is>
          <t>Veterinário com especialização em manejo de gado de leite.</t>
        </is>
      </c>
      <c r="E50" t="inlineStr">
        <is>
          <t>[Record]</t>
        </is>
      </c>
    </row>
    <row r="51">
      <c r="A51" t="n">
        <v>56</v>
      </c>
      <c r="B51" t="inlineStr">
        <is>
          <t>Eduardo Lima</t>
        </is>
      </c>
      <c r="C51" t="inlineStr">
        <is>
          <t>Filosofia</t>
        </is>
      </c>
      <c r="D51" t="inlineStr">
        <is>
          <t>Doutor em Ética com foco em bioética e sustentabilidade.</t>
        </is>
      </c>
      <c r="E51" t="inlineStr">
        <is>
          <t>[Record]</t>
        </is>
      </c>
    </row>
    <row r="52">
      <c r="A52" t="n">
        <v>65</v>
      </c>
      <c r="B52" t="inlineStr">
        <is>
          <t>Eliane Silva</t>
        </is>
      </c>
      <c r="C52" t="inlineStr">
        <is>
          <t>Língua Portuguesa</t>
        </is>
      </c>
      <c r="D52" t="inlineStr">
        <is>
          <t>Especialista em alfabetização e letramento nos anos finais.</t>
        </is>
      </c>
      <c r="E52" t="inlineStr">
        <is>
          <t>[Record]</t>
        </is>
      </c>
    </row>
    <row r="53">
      <c r="A53" t="n">
        <v>45</v>
      </c>
      <c r="B53" t="inlineStr">
        <is>
          <t>Roberto Carlos Lima</t>
        </is>
      </c>
      <c r="C53" t="inlineStr">
        <is>
          <t>Inglês</t>
        </is>
      </c>
      <c r="D53" t="inlineStr">
        <is>
          <t>Especialista em ensino de línguas estrangeiras para fins profissionais.</t>
        </is>
      </c>
      <c r="E53" t="inlineStr">
        <is>
          <t>[Record]</t>
        </is>
      </c>
    </row>
    <row r="54">
      <c r="A54" t="n">
        <v>47</v>
      </c>
      <c r="B54" t="inlineStr">
        <is>
          <t>Fernando Rocha</t>
        </is>
      </c>
      <c r="C54" t="inlineStr">
        <is>
          <t>Programação</t>
        </is>
      </c>
      <c r="D54" t="inlineStr">
        <is>
          <t>Engenheiro de Sistemas com foco em desenvolvimento web e algoritmos.</t>
        </is>
      </c>
      <c r="E54" t="inlineStr">
        <is>
          <t>[Record]</t>
        </is>
      </c>
    </row>
    <row r="55">
      <c r="A55" t="n">
        <v>49</v>
      </c>
      <c r="B55" t="inlineStr">
        <is>
          <t>Marcos Paulo Mendes</t>
        </is>
      </c>
      <c r="C55" t="inlineStr">
        <is>
          <t>História</t>
        </is>
      </c>
      <c r="D55" t="inlineStr">
        <is>
          <t>Historiador com especialização em História do Brasil Contemporâneo.</t>
        </is>
      </c>
      <c r="E55" t="inlineStr">
        <is>
          <t>[Record]</t>
        </is>
      </c>
    </row>
    <row r="56">
      <c r="A56" t="n">
        <v>51</v>
      </c>
      <c r="B56" t="inlineStr">
        <is>
          <t>Pedro Alves</t>
        </is>
      </c>
      <c r="C56" t="inlineStr">
        <is>
          <t>Biologia</t>
        </is>
      </c>
      <c r="D56" t="inlineStr">
        <is>
          <t>Biólogo com mestrado em ecologia e conservação da biodiversidade.</t>
        </is>
      </c>
      <c r="E56" t="inlineStr">
        <is>
          <t>[Record]</t>
        </is>
      </c>
    </row>
    <row r="57">
      <c r="A57" t="n">
        <v>53</v>
      </c>
      <c r="B57" t="inlineStr">
        <is>
          <t>Helena Ferreira</t>
        </is>
      </c>
      <c r="C57" t="inlineStr">
        <is>
          <t>Química</t>
        </is>
      </c>
      <c r="D57" t="inlineStr">
        <is>
          <t>Mestre em Química Analítica com foco em análise de solos.</t>
        </is>
      </c>
      <c r="E57" t="inlineStr">
        <is>
          <t>[Record]</t>
        </is>
      </c>
    </row>
    <row r="58">
      <c r="A58" t="n">
        <v>55</v>
      </c>
      <c r="B58" t="inlineStr">
        <is>
          <t>Carla Rocha</t>
        </is>
      </c>
      <c r="C58" t="inlineStr">
        <is>
          <t>Matemática</t>
        </is>
      </c>
      <c r="D58" t="inlineStr">
        <is>
          <t>Licenciada com especialização em modelagem estatística rural.</t>
        </is>
      </c>
      <c r="E58" t="inlineStr">
        <is>
          <t>[Record]</t>
        </is>
      </c>
    </row>
    <row r="59">
      <c r="A59" t="n">
        <v>61</v>
      </c>
      <c r="B59" t="inlineStr">
        <is>
          <t>Patrícia Vieira</t>
        </is>
      </c>
      <c r="C59" t="inlineStr">
        <is>
          <t>Química</t>
        </is>
      </c>
      <c r="D59" t="inlineStr">
        <is>
          <t>Pesquisadora na área de química orgânica e sustentabilidade.</t>
        </is>
      </c>
      <c r="E59" t="inlineStr">
        <is>
          <t>[Record]</t>
        </is>
      </c>
    </row>
    <row r="60">
      <c r="A60" t="n">
        <v>57</v>
      </c>
      <c r="B60" t="inlineStr">
        <is>
          <t>Simone Gomes</t>
        </is>
      </c>
      <c r="C60" t="inlineStr">
        <is>
          <t>Artes</t>
        </is>
      </c>
      <c r="D60" t="inlineStr">
        <is>
          <t>Artista visual formada pela UNICAMP com foco em história da arte.</t>
        </is>
      </c>
      <c r="E60" t="inlineStr">
        <is>
          <t>[Record]</t>
        </is>
      </c>
    </row>
    <row r="61">
      <c r="A61" t="n">
        <v>58</v>
      </c>
      <c r="B61" t="inlineStr">
        <is>
          <t>Ricardo Martins</t>
        </is>
      </c>
      <c r="C61" t="inlineStr">
        <is>
          <t>Educação Física</t>
        </is>
      </c>
      <c r="D61" t="inlineStr">
        <is>
          <t>Mestre em Fisiologia do Exercício com atuação em esportes coletivos.</t>
        </is>
      </c>
      <c r="E61" t="inlineStr">
        <is>
          <t>[Record]</t>
        </is>
      </c>
    </row>
    <row r="62">
      <c r="A62" t="n">
        <v>59</v>
      </c>
      <c r="B62" t="inlineStr">
        <is>
          <t>Fernanda Lima</t>
        </is>
      </c>
      <c r="C62" t="inlineStr">
        <is>
          <t>Espanhol</t>
        </is>
      </c>
      <c r="D62" t="inlineStr">
        <is>
          <t>Tradutora e docente com certificação internacional de proficiência.</t>
        </is>
      </c>
      <c r="E62" t="inlineStr">
        <is>
          <t>[Record]</t>
        </is>
      </c>
    </row>
    <row r="63">
      <c r="A63" t="n">
        <v>60</v>
      </c>
      <c r="B63" t="inlineStr">
        <is>
          <t>André Silva</t>
        </is>
      </c>
      <c r="C63" t="inlineStr">
        <is>
          <t>Literatura</t>
        </is>
      </c>
      <c r="D63" t="inlineStr">
        <is>
          <t>Doutor em Teoria Literária com diversos artigos publicados.</t>
        </is>
      </c>
      <c r="E63" t="inlineStr">
        <is>
          <t>[Record]</t>
        </is>
      </c>
    </row>
    <row r="64">
      <c r="A64" t="n">
        <v>62</v>
      </c>
      <c r="B64" t="inlineStr">
        <is>
          <t>José Pereira</t>
        </is>
      </c>
      <c r="C64" t="inlineStr">
        <is>
          <t>História</t>
        </is>
      </c>
      <c r="D64" t="inlineStr">
        <is>
          <t>Especialista em História do Nordeste e cultura popular.</t>
        </is>
      </c>
      <c r="E64" t="inlineStr">
        <is>
          <t>[Record]</t>
        </is>
      </c>
    </row>
    <row r="65">
      <c r="A65" t="n">
        <v>63</v>
      </c>
      <c r="B65" t="inlineStr">
        <is>
          <t>Sandra Meireles</t>
        </is>
      </c>
      <c r="C65" t="inlineStr">
        <is>
          <t>Ciências</t>
        </is>
      </c>
      <c r="D65" t="inlineStr">
        <is>
          <t>Bióloga com pós-graduação em Educação Ambiental.</t>
        </is>
      </c>
      <c r="E65" t="inlineStr">
        <is>
          <t>[Record]</t>
        </is>
      </c>
    </row>
    <row r="66">
      <c r="A66" t="n">
        <v>64</v>
      </c>
      <c r="B66" t="inlineStr">
        <is>
          <t>Paulo Roberto</t>
        </is>
      </c>
      <c r="C66" t="inlineStr">
        <is>
          <t>Geografia</t>
        </is>
      </c>
      <c r="D66" t="inlineStr">
        <is>
          <t>Geógrafo com mestrado em Climatologia Tropical.</t>
        </is>
      </c>
      <c r="E66" t="inlineStr">
        <is>
          <t>[Record]</t>
        </is>
      </c>
    </row>
    <row r="67">
      <c r="A67" t="n">
        <v>66</v>
      </c>
      <c r="B67" t="inlineStr">
        <is>
          <t>Francisco Assis</t>
        </is>
      </c>
      <c r="C67" t="inlineStr">
        <is>
          <t>Matemática</t>
        </is>
      </c>
      <c r="D67" t="inlineStr">
        <is>
          <t>Licenciado com foco em ensino de lógica para adolescentes.</t>
        </is>
      </c>
      <c r="E67" t="inlineStr">
        <is>
          <t>[Record]</t>
        </is>
      </c>
    </row>
    <row r="68">
      <c r="A68" t="n">
        <v>67</v>
      </c>
      <c r="B68" t="inlineStr">
        <is>
          <t>Marcos Oliveira</t>
        </is>
      </c>
      <c r="C68" t="inlineStr">
        <is>
          <t>Sistemas de Informação</t>
        </is>
      </c>
      <c r="D68" t="inlineStr">
        <is>
          <t>Mestre em Ciência da Computação com 10 anos de experiência em desenvolvimento full-stack.</t>
        </is>
      </c>
      <c r="E68" t="inlineStr">
        <is>
          <t>[Record]</t>
        </is>
      </c>
    </row>
    <row r="69">
      <c r="A69" t="n">
        <v>68</v>
      </c>
      <c r="B69" t="inlineStr">
        <is>
          <t>Ana Paula Souza</t>
        </is>
      </c>
      <c r="C69" t="inlineStr">
        <is>
          <t>Literatura</t>
        </is>
      </c>
      <c r="D69" t="inlineStr">
        <is>
          <t>Doutora em Letras pela USP com vasta experiência no ensino de clássicos brasileiros.</t>
        </is>
      </c>
      <c r="E69" t="inlineStr">
        <is>
          <t>[Record]</t>
        </is>
      </c>
    </row>
    <row r="70">
      <c r="A70" t="n">
        <v>69</v>
      </c>
      <c r="B70" t="inlineStr">
        <is>
          <t>Ricardo Ferreira</t>
        </is>
      </c>
      <c r="C70" t="inlineStr">
        <is>
          <t>Matemática</t>
        </is>
      </c>
      <c r="D70" t="inlineStr">
        <is>
          <t>Licenciado em Matemática com especialização em educação básica para o campo.</t>
        </is>
      </c>
      <c r="E70" t="inlineStr">
        <is>
          <t>[Record]</t>
        </is>
      </c>
    </row>
    <row r="71">
      <c r="A71" t="n">
        <v>70</v>
      </c>
      <c r="B71" t="inlineStr">
        <is>
          <t>Juliana Costa</t>
        </is>
      </c>
      <c r="C71" t="inlineStr">
        <is>
          <t>Gestão de Pessoas</t>
        </is>
      </c>
      <c r="D71" t="inlineStr">
        <is>
          <t>MBA em Gestão Estratégica e consultora empresarial com 15 anos de atuação.</t>
        </is>
      </c>
      <c r="E71" t="inlineStr">
        <is>
          <t>[Record]</t>
        </is>
      </c>
    </row>
    <row r="72">
      <c r="A72" t="n">
        <v>71</v>
      </c>
      <c r="B72" t="inlineStr">
        <is>
          <t>Roberto Santos</t>
        </is>
      </c>
      <c r="C72" t="inlineStr">
        <is>
          <t>Biologia</t>
        </is>
      </c>
      <c r="D72" t="inlineStr">
        <is>
          <t>Especialista em Ecologia com atuação em projetos de preservação na Serra do Curral.</t>
        </is>
      </c>
      <c r="E72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70810-4BE5-48DC-B9F1-7616C09C6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Leandro Crisci</dc:creator>
  <dcterms:created xmlns:dcterms="http://purl.org/dc/terms/" xmlns:xsi="http://www.w3.org/2001/XMLSchema-instance" xsi:type="dcterms:W3CDTF">2026-10-22T01:38:43Z</dcterms:created>
  <dcterms:modified xmlns:dcterms="http://purl.org/dc/terms/" xmlns:xsi="http://www.w3.org/2001/XMLSchema-instance" xsi:type="dcterms:W3CDTF">2026-10-22T19:44:05Z</dcterms:modified>
  <cp:lastModifiedBy>Leandro Crisci</cp:lastModifiedBy>
</cp:coreProperties>
</file>
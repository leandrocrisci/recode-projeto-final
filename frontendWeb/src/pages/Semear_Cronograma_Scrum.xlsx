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são Geral" sheetId="1" state="visible" r:id="rId3"/>
    <sheet name="Cronograma" sheetId="2" state="visible" r:id="rId4"/>
    <sheet name="Scrum" sheetId="3" state="visible" r:id="rId5"/>
    <sheet name="KB" sheetId="4" state="visible" r:id="rId6"/>
    <sheet name="Pesquisas" sheetId="5" state="visible" r:id="rId7"/>
    <sheet name="Calc" sheetId="6" state="visible" r:id="rId8"/>
    <sheet name="Parâmetros" sheetId="7" state="visible" r:id="rId9"/>
    <sheet name="cronograma-csv" sheetId="8" state="visible" r:id="rId10"/>
  </sheets>
  <definedNames>
    <definedName function="false" hidden="true" localSheetId="3" name="_xlnm._FilterDatabase" vbProcedure="false">KB!$B$4:$F$122</definedName>
    <definedName function="false" hidden="false" name="DATA_REF" vbProcedure="false">Parâmetros!$F$5</definedName>
    <definedName function="false" hidden="false" name="DIAS_SEMANA" vbProcedure="false">Parâmetros!$F$6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<sst xmlns="http://schemas.openxmlformats.org/spreadsheetml/2006/main" count="790" uniqueCount="347">
  <si>
    <t xml:space="preserve">Semear · Visão Geral do Cronograma</t>
  </si>
  <si>
    <t xml:space="preserve">Dados do CSV do cronograma. Altere o Status na aba Cronograma e tudo se atualiza.</t>
  </si>
  <si>
    <t xml:space="preserve">Itens no cronograma</t>
  </si>
  <si>
    <t xml:space="preserve">% concluído (esforço)</t>
  </si>
  <si>
    <t xml:space="preserve">Concluído / planejado (dias)</t>
  </si>
  <si>
    <t xml:space="preserve">Itens bloqueados</t>
  </si>
  <si>
    <t xml:space="preserve">Sprints</t>
  </si>
  <si>
    <t xml:space="preserve">Período planejado</t>
  </si>
  <si>
    <t xml:space="preserve">Velocidade média (dias/sprint)</t>
  </si>
  <si>
    <t xml:space="preserve">Data de referência</t>
  </si>
  <si>
    <t xml:space="preserve">Mais gráficos (burnup, velocidade, componentes) na aba Scrum.</t>
  </si>
  <si>
    <t xml:space="preserve">Cronograma do Projeto</t>
  </si>
  <si>
    <t xml:space="preserve">Itens do CSV com datas, prazos e status. Edite só as células amarelas da coluna Status; o Gantt, o Scrum e a Visão Geral acompanham.</t>
  </si>
  <si>
    <t xml:space="preserve">Legenda:</t>
  </si>
  <si>
    <t xml:space="preserve">Concluído</t>
  </si>
  <si>
    <t xml:space="preserve">Em andamento</t>
  </si>
  <si>
    <t xml:space="preserve">Bloqueado</t>
  </si>
  <si>
    <t xml:space="preserve">A fazer</t>
  </si>
  <si>
    <t xml:space="preserve">Amarelo = entrada</t>
  </si>
  <si>
    <t xml:space="preserve">ID</t>
  </si>
  <si>
    <t xml:space="preserve">Tipo</t>
  </si>
  <si>
    <t xml:space="preserve">Resumo</t>
  </si>
  <si>
    <t xml:space="preserve">Épico ID</t>
  </si>
  <si>
    <t xml:space="preserve">Épico</t>
  </si>
  <si>
    <t xml:space="preserve">Sprint</t>
  </si>
  <si>
    <t xml:space="preserve">Componente</t>
  </si>
  <si>
    <t xml:space="preserve">Prazo médio (texto)</t>
  </si>
  <si>
    <t xml:space="preserve">Mín (dias)</t>
  </si>
  <si>
    <t xml:space="preserve">Máx (dias)</t>
  </si>
  <si>
    <t xml:space="preserve">Média (dias)</t>
  </si>
  <si>
    <t xml:space="preserve">Início</t>
  </si>
  <si>
    <t xml:space="preserve">Fim</t>
  </si>
  <si>
    <t xml:space="preserve">Status</t>
  </si>
  <si>
    <t xml:space="preserve">Esforço (dias)</t>
  </si>
  <si>
    <t xml:space="preserve">Épicos: datas e status calculados a partir dos itens abaixo de cada épico. Barra do Gantt = Início até Fim, na cor do status; coluna cinza = data de referência.</t>
  </si>
  <si>
    <t xml:space="preserve">Scrum · Sprints</t>
  </si>
  <si>
    <t xml:space="preserve">Esforço em dias (prazo médio das Stories). Os gráficos abaixo leem esta tabela e a aba Calc.</t>
  </si>
  <si>
    <t xml:space="preserve">Meta (épico)</t>
  </si>
  <si>
    <t xml:space="preserve">Itens</t>
  </si>
  <si>
    <t xml:space="preserve">Stories</t>
  </si>
  <si>
    <t xml:space="preserve">Planejado (dias)</t>
  </si>
  <si>
    <t xml:space="preserve">Concluído (dias)</t>
  </si>
  <si>
    <t xml:space="preserve">Em aberto (dias)</t>
  </si>
  <si>
    <t xml:space="preserve">% concluído</t>
  </si>
  <si>
    <t xml:space="preserve">Total</t>
  </si>
  <si>
    <t xml:space="preserve">Velocidade = esforço concluído por sprint. Burndown: restante ideal (linear) x real (escopo menos concluído). A sprint em andamento mostra o parcial até a data de referência.</t>
  </si>
  <si>
    <t xml:space="preserve">Gráficos Scrum</t>
  </si>
  <si>
    <t xml:space="preserve">KB · Base de conhecimento</t>
  </si>
  <si>
    <t xml:space="preserve">Conteúdo do KB.md organizado por seção. Use o filtro do cabeçalho para pesquisar.</t>
  </si>
  <si>
    <t xml:space="preserve">#</t>
  </si>
  <si>
    <t xml:space="preserve">Seção</t>
  </si>
  <si>
    <t xml:space="preserve">Subseção</t>
  </si>
  <si>
    <t xml:space="preserve">Conteúdo</t>
  </si>
  <si>
    <t xml:space="preserve">Introdução</t>
  </si>
  <si>
    <t xml:space="preserve">Texto</t>
  </si>
  <si>
    <t xml:space="preserve">Guia do projeto para quem for mexer nele (pessoas ou o Claude). Resume o que o sistema é, as convenções adotadas, tudo o que foi corrigido e melhorado no trabalho de revisão e o que ainda está em aberto.</t>
  </si>
  <si>
    <t xml:space="preserve">Última atualização: 18/10/2026.</t>
  </si>
  <si>
    <t xml:space="preserve">Nota</t>
  </si>
  <si>
    <t xml:space="preserve">Como este arquivo foi feito: consolidado a partir das conversas de revisão do projeto. As verificações citadas foram checagem de tipos com bibliotecas simuladas e testes em Node das funções puras. Nada foi testado no navegador pelo Claude, e as telas devem ser conferidas com npm run build e npm run dev. Se um caminho de arquivo aqui divergir do repositório, vale o repositório.</t>
  </si>
  <si>
    <t xml:space="preserve">1. Visão geral</t>
  </si>
  <si>
    <t xml:space="preserve">Sistema B2B de gestão educacional e venda de materiais escolares, alinhado ao ODS 4 (Educação de Qualidade) da Agenda 2030. É o projeto final do curso da Recode (trilhas.recode.org.br, Turma 2). No menu aparece como Recode — Avaliação Escolas.</t>
  </si>
  <si>
    <t xml:space="preserve">Registro</t>
  </si>
  <si>
    <t xml:space="preserve">Frontend: React + TypeScript + Fluent UI v9, nesta pasta.</t>
  </si>
  <si>
    <t xml:space="preserve">Backend: API REST em Java (Spring Boot), porta 8090, banco PostgreSQL. Fica em outro projeto.</t>
  </si>
  <si>
    <t xml:space="preserve">Funcionalidades: cadastros (escolas, cursos, alunos, professores, endereços), avaliações (cursos e qualidade), mapa com indicadores socioespaciais, suprimentos (produtos e pedidos), relatório gerencial, Central de Eventos e Auditoria, página do ODS 4, documentação técnica e página de Agradecimentos.</t>
  </si>
  <si>
    <t xml:space="preserve">Perfis: usuário e administrador (troca pelo menu do avatar na Navbar). Ações de criar, editar e excluir só aparecem para admin.</t>
  </si>
  <si>
    <t xml:space="preserve">2. Stack e como rodar</t>
  </si>
  <si>
    <t xml:space="preserve">UI — React 19, TypeScript, Fluent UI v9 (@fluentui/react-components, @fluentui/react-icons), Griffel (makeStyles)</t>
  </si>
  <si>
    <t xml:space="preserve">Build / rota — Vite 8, React Router 7</t>
  </si>
  <si>
    <t xml:space="preserve">HTTP — Axios (baseURL: '/api'), com interceptores de log</t>
  </si>
  <si>
    <t xml:space="preserve">Mapa — Google Maps JavaScript API via @vis.gl/react-google-maps</t>
  </si>
  <si>
    <t xml:space="preserve">Integrações — ViaCEP (busca de endereço), Google Sheets (importação opcional de produtos, no backend)</t>
  </si>
  <si>
    <t xml:space="preserve">Variáveis de ambiente (.env.local, que não vai para o Git):</t>
  </si>
  <si>
    <t xml:space="preserve">VITE_GOOGLE_MAPS_API_KEY — Chave da Maps JavaScript API</t>
  </si>
  <si>
    <t xml:space="preserve">VITE_GOOGLE_MAP_ID — Map ID do Google (opcional; sem ele usa DEMO_MAP_ID, só para desenvolvimento)</t>
  </si>
  <si>
    <t xml:space="preserve">O front chama /api/..., então o Vite precisa encaminhar /api para o backend em localhost:8090 (proxy no vite.config).</t>
  </si>
  <si>
    <t xml:space="preserve">3. Estrutura de src/</t>
  </si>
  <si>
    <t xml:space="preserve">O arquivo DevLogger.tsx pode estar em pages/ ou components/; o import no App.tsx precisa apontar para onde ele estiver.</t>
  </si>
  <si>
    <t xml:space="preserve">Rotas: / Dashboard · /ods4 · /escolas · /cursos · /alunos · /professores · /enderecos · /av-cursos · /av-qualidade · /produtos · /pedidos · /progressos (Relatório Gerencial) · /eventos (Central de Eventos; /DevLogger redireciona para cá) · /docs · /agradecimentos.</t>
  </si>
  <si>
    <t xml:space="preserve">Menu lateral: Navegação (Dashboard, ODS 4) · Cadastros (Escolas, Cursos, Alunos, Professores, Endereços) · Avaliações (Aval. Cursos, Aval. Qualidade) · Suprimentos (Produtos, Pedidos) · Acompanhamento (Relatório Gerencial, Central de Eventos) · Projeto (Documentação, Agradecimentos).</t>
  </si>
  <si>
    <t xml:space="preserve">4. Convenções (siga ao criar ou alterar telas)</t>
  </si>
  <si>
    <t xml:space="preserve">1. Cabeçalho: use PageHeader com icon (ícone do Fluent, sem emoji), title, subtitle e actions. Não monte &lt;div&gt;&lt;Title2/&gt;&lt;Text/&gt;&lt;/div&gt;: os dois são &lt;span&gt; e ficam na mesma linha.</t>
  </si>
  <si>
    <t xml:space="preserve">2. Indicadores: use KpiCard. O tom (brand, success, warning, danger, neutral) só fica colorido quando faz sentido (contador de erros em 0 é neutro).</t>
  </si>
  <si>
    <t xml:space="preserve">3. Tabelas: DataGrid com sortable e compare em cada coluna (cmpTexto, cmpNumero), columnSizingOptions quando houver conteúdo largo (ex.: nota com estrelas) e EmptyState para lista vazia. Colunas de ação e de texto livre não ordenam.</t>
  </si>
  <si>
    <t xml:space="preserve">4. Exclusão: const { confirmar, dialog } = useConfirm(), if (!(await confirmar('...'))) return; e {dialog} no fim da página. Nunca window.confirm.</t>
  </si>
  <si>
    <t xml:space="preserve">5. Chamadas à API: sempre por services/api.ts. Assim passam pelo interceptor e aparecem na Central de Eventos. Não use axios direto nas páginas (a única exceção é o ViaCEP em buscarCep).</t>
  </si>
  <si>
    <t xml:space="preserve">6. Dados agregados: use useEscolasAgregadas() e as funções de utils/. Não recalcule médias dentro da página.</t>
  </si>
  <si>
    <t xml:space="preserve">7. Cores: só tokens do Fluent (tokens.*), para o modo escuro funcionar. Hexadecimais só onde há motivo (vermelho do ODS 4, texto branco sobre o gradiente da marca, cores de verbo HTTP na Central).</t>
  </si>
  <si>
    <t xml:space="preserve">8. Verde, amarelo e vermelho = status/nota. Tipos de escola usam corTipoEscola() (marca, informativo, importante, discreto), nunca essas três cores.</t>
  </si>
  <si>
    <t xml:space="preserve">9. Faixas de nota (centralizadas em utils/avaliacoesRelatorio.ts): escala 1 a 5: ≥ 4 boa, ≥ 2,5 atenção, abaixo crítica. Escala 0 a 10 (cursos): ≥ 7 boa, ≥ 5 atenção, abaixo crítica.</t>
  </si>
  <si>
    <t xml:space="preserve">10. Estrelas de nota: componente Stars. Texto ★☆ dentro de Badge parecia tudo preenchido.</t>
  </si>
  <si>
    <t xml:space="preserve">11. Gráficos: reutilize HBarChart, ColumnChart, RingChart e passe ariaLabel com o resumo em texto. Sem biblioteca de gráficos nova.</t>
  </si>
  <si>
    <t xml:space="preserve">12. Textos em português com acentuação correta. Números de conteúdo editorial ficam em src/data/, não espalhados no JSX.</t>
  </si>
  <si>
    <t xml:space="preserve">13. Antes de criar um componente novo, confira components/ e utils/.</t>
  </si>
  <si>
    <t xml:space="preserve">5. Decisões e o porquê</t>
  </si>
  <si>
    <t xml:space="preserve">Hook + função pura para agregação: o cruzamento de escolas, alunos, endereços e avaliações estava duplicado no Dashboard e no Relatório. Agora vive em utils/agregarEscolas.ts (uma passada com Map) e é testável sem React.</t>
  </si>
  <si>
    <t xml:space="preserve">Região por UF: obterRegiao aceita sigla ou nome, com ou sem acento. O que não for reconhecido vira "Não informado" (nunca uma "região" inventada).</t>
  </si>
  <si>
    <t xml:space="preserve">Média da região: é a média das notas médias das escolas avaliadas (cada escola pesa igual, independente do número de avaliações). A tela avisa isso e marca "amostra pequena" abaixo de 3 escolas avaliadas.</t>
  </si>
  <si>
    <t xml:space="preserve">Cursos com nome repetido (ex.: "Avaliação Geral de Desempenho" em várias escolas): o gráfico usa a escola como rótulo e o nome do curso como detalhe. A chave do React é o id, nunca o nome.</t>
  </si>
  <si>
    <t xml:space="preserve">Avaliação sem nota é ignorada, não conta como zero.</t>
  </si>
  <si>
    <t xml:space="preserve">Dashboard: altura é 100vh - NAVBAR_HEIGHT (56 px, constante no arquivo). O mapa usa AdvancedMarker com mapId e colorScheme ligado ao tema. O conteúdo do balão do mapa (InfoWindow) usa um FluentProvider com tema claro, porque o balão do Google é sempre branco.</t>
  </si>
  <si>
    <t xml:space="preserve">Central de Eventos: exporta JSON em vez de "Atualizar" (o reload da página apagava os logs, que ficam em memória). "Limpar Logs" é vermelho por estilo próprio, porque o Button do Fluent não tem color="danger".</t>
  </si>
  <si>
    <t xml:space="preserve">Menu: Tooltip em volta do NavItem não funcionava (sem forwardRef); virou o atributo title. Professores e Endereços ficam em Cadastros.</t>
  </si>
  <si>
    <t xml:space="preserve">Perfil na Navbar: um único botão com avatar, papel e menu (MenuItemRadio) no lugar de ícone, texto, switch e avatar soltos.</t>
  </si>
  <si>
    <t xml:space="preserve">6. Histórico consolidado de correções e melhorias</t>
  </si>
  <si>
    <t xml:space="preserve">6.1 Segurança</t>
  </si>
  <si>
    <t xml:space="preserve">Chave do Google Maps estava escrita no Dashboard.tsx. Passou para VITE_GOOGLE_MAPS_API_KEY no .env.local (no .gitignore), a chave foi trocada e a antiga deve ser desativada.</t>
  </si>
  <si>
    <t xml:space="preserve">Restringir a chave nova por referenciador HTTP e só às APIs usadas. Conferir o histórico do Git: git log -S "AIza" --oneline.</t>
  </si>
  <si>
    <t xml:space="preserve">6.2 Layout e consistência (todas as telas)</t>
  </si>
  <si>
    <t xml:space="preserve">Título e subtítulo colados (Escolas, Cursos, Professores, ODS 4): resolvido com PageHeader.</t>
  </si>
  <si>
    <t xml:space="preserve">Emojis nos títulos trocados por ícones do Fluent; ícone repetido entre Relatório e Central de Eventos corrigido.</t>
  </si>
  <si>
    <t xml:space="preserve">KpiCard em Dashboard, Relatório, Central de Eventos e ODS 4.</t>
  </si>
  <si>
    <t xml:space="preserve">Badges de tipo de escola fora da família verde/amarelo/vermelho (corTipoEscola).</t>
  </si>
  <si>
    <t xml:space="preserve">Avaliações de Qualidade: Stars no lugar do badge, coluna Nota com largura definida e nowrap (as estrelas e o "5/5" invadiam a coluna Data).</t>
  </si>
  <si>
    <t xml:space="preserve">Avaliações de Cursos: escola junto do curso; badges de nota de largura igual.</t>
  </si>
  <si>
    <t xml:space="preserve">Banners da ODS 4 e Documentação: título e subtítulo em coluna; etiqueta não quebra mais.</t>
  </si>
  <si>
    <t xml:space="preserve">Produtos ganhou subtítulo "Catálogo de materiais escolares".</t>
  </si>
  <si>
    <t xml:space="preserve">6.3 Tabelas (11 DataGrids)</t>
  </si>
  <si>
    <t xml:space="preserve">Ordenação por coluna em todas (sortable + compare).</t>
  </si>
  <si>
    <t xml:space="preserve">9 confirm() do navegador trocados por useConfirm (diálogo do Fluent, botão "Excluir" vermelho).</t>
  </si>
  <si>
    <t xml:space="preserve">9 estados vazios copiados à mão trocados por EmptyState; a Central de Eventos ganhou um.</t>
  </si>
  <si>
    <t xml:space="preserve">Filtro de tipo do Relatório não achava nada (comparava publica com Pública); agora as opções vêm dos dados.</t>
  </si>
  <si>
    <t xml:space="preserve">Painel lateral do Relatório guarda só o id da escola, então reflete os dados novos depois de "Atualizar".</t>
  </si>
  <si>
    <t xml:space="preserve">6.4 Dados e API</t>
  </si>
  <si>
    <t xml:space="preserve">useEscolasAgregadas + utils/agregarEscolas.ts: Dashboard e Relatório pararam de chamar axios com http://localhost:8090. Os requests passam por api.ts e aparecem na Central de Eventos.</t>
  </si>
  <si>
    <t xml:space="preserve">types.ts: Aluno ganhou area, distanciaEscola, tipoTransporte, tempoDeslocamentoMinutos; EnderecoEscola ganhou latitude, longitude, formattedAddress.</t>
  </si>
  <si>
    <t xml:space="preserve">api.ts: as rotas de avaliações de cursos estavam sem a barra inicial (o log mostrava /apiavaliacoes-cursos).</t>
  </si>
  <si>
    <t xml:space="preserve">Endereço ausente mostra "Endereço não cadastrado" em vez de , - /. Coordenada 0 é válida; texto inválido vira null e a escola fica fora do mapa.</t>
  </si>
  <si>
    <t xml:space="preserve">6.5 Dashboard</t>
  </si>
  <si>
    <t xml:space="preserve">Faixa de KPIs (escolas, alunos, nota média, % rural).</t>
  </si>
  <si>
    <t xml:space="preserve">Painel lateral sem seleção virou panorama: busca e lista de escolas (clicar equivale a clicar no marcador), aviso de escolas sem localização. Botão "Voltar ao panorama" no topo.</t>
  </si>
  <si>
    <t xml:space="preserve">Altura corrigida (era 64 px, a Navbar tem 56). Removido fontFamily: 'sans-serif'.</t>
  </si>
  <si>
    <t xml:space="preserve">Marker (deprecado) → AdvancedMarker; mapId com VITE_GOOGLE_MAP_ID ou DEMO_MAP_ID; tema escuro do mapa.</t>
  </si>
  <si>
    <t xml:space="preserve">Bug do modo escuro: o nome da escola sumia no balão (texto branco do tema escuro sobre o balão branco do Google). Conteúdo do InfoWindow agora dentro de FluentProvider theme={webLightTheme}.</t>
  </si>
  <si>
    <t xml:space="preserve">6.6 Relatório Gerencial</t>
  </si>
  <si>
    <t xml:space="preserve">Abas: Avaliação por Região, Avaliação dos Cursos e Escolas (antes "Analítico").</t>
  </si>
  <si>
    <t xml:space="preserve">Gráfico comparativo único (HBarChart) no lugar de um cartão por barra; cor por faixa de nota; linha de média geral; número de escolas avaliadas visível; sempre as cinco regiões, com "Sem avaliações" quando não houver dado.</t>
  </si>
  <si>
    <t xml:space="preserve">Cursos: todos (limite inicial de 10 + "Mostrar todos"), ordem "maiores" ou "menores" notas primeiro; antes só os 8 melhores, escondendo os críticos.</t>
  </si>
  <si>
    <t xml:space="preserve">Correções: chave duplicada nos cursos, nota nula contando como zero, região desconhecida virando barra, "avaliaçãoões", KPI "0.0" quando não há avaliações.</t>
  </si>
  <si>
    <t xml:space="preserve">Lógica em utils/avaliacoesRelatorio.ts; HBarChart ganhou detail (linha sob o rótulo) e id (chave estável).</t>
  </si>
  <si>
    <t xml:space="preserve">6.7 Central de Eventos e Auditoria</t>
  </si>
  <si>
    <t xml:space="preserve">"Atualizar" (reload que apagava os logs) → "Exportar" JSON dos eventos filtrados.</t>
  </si>
  <si>
    <t xml:space="preserve">"Limpar Logs" vermelho, desabilitado sem eventos, e fecha o painel de detalhes.</t>
  </si>
  <si>
    <t xml:space="preserve">Colunas com largura que cabe (horário, método, status, latência); cabeçalhos "Método" e "Status".</t>
  </si>
  <si>
    <t xml:space="preserve">Rota /eventos (a antiga /DevLogger redireciona); item de menu "Central de Eventos" com ícone próprio.</t>
  </si>
  <si>
    <t xml:space="preserve">Captura do console: services/consoleCapture.ts espelha console.log/info/warn/error, erros não tratados e promises rejeitadas. Liga no LogContext com useLayoutEffect. O console continua funcionando; erros do Axios não são duplicados; mensagens iguais em sequência (0,5 s) são ignoradas; teto de 30 por segundo; ruído do Vite e da dica do React DevTools é ignorado. Os KPIs agora se chamam "Volume Total de Eventos", "Exceções e Erros" e "Alertas e Avisos".</t>
  </si>
  <si>
    <t xml:space="preserve">6.8 Sidebar, Navbar e rotas</t>
  </si>
  <si>
    <t xml:space="preserve">Ícone de escudo para a Central de Eventos, rótulo "Central de Eventos", acento em "Relatório Gerencial".</t>
  </si>
  <si>
    <t xml:space="preserve">Menu com aria-label, contorno de foco e espaçamento mais enxuto.</t>
  </si>
  <si>
    <t xml:space="preserve">Navbar: menu de perfil único; marca clicável (leva ao Dashboard); removida a bolinha verde de "online" do avatar.</t>
  </si>
  <si>
    <t xml:space="preserve">Professores e Endereços movidos para Cadastros (a seção "Endereços" de um item só deixou de existir).</t>
  </si>
  <si>
    <t xml:space="preserve">6.8.1 Celular (testado no iPhone 8, versão publicada no Render)</t>
  </si>
  <si>
    <t xml:space="preserve">Problema: o menu lateral fixo (220 px) e o painel do Dashboard ocupavam a tela inteira de ~375 px, e o mapa não aparecia.</t>
  </si>
  <si>
    <t xml:space="preserve">Botão de menu na Navbar (ícone de hambúrguer) que mostra e esconde o menu. hooks/useMenuLateral.ts guarda o estado (aberto/fechado) fora do React com useSyncExternalStore, então a Navbar e a Sidebar compartilham sem Provider e sem mexer no App.tsx.</t>
  </si>
  <si>
    <t xml:space="preserve">Celular (até 768 px): o menu é uma gaveta sobre o conteúdo, começa fechada, fecha ao tocar no fundo escuro, ao escolher uma tela ou com Esc. Computador: o botão recolhe e reabre o menu, e a escolha fica salva em localStorage (recode:menu-lateral-aberto). Girar o aparelho reajusta sozinho.</t>
  </si>
  <si>
    <t xml:space="preserve">O ponto de corte (768 px) é o mesmo do layout do Dashboard (mapa em cima, painel embaixo, KPIs em duas colunas).</t>
  </si>
  <si>
    <t xml:space="preserve">Navbar no celular: título curto ("Recode"), perfil só com avatar e seta, menos espaçamento.</t>
  </si>
  <si>
    <t xml:space="preserve">6.9 Página do ODS 4</t>
  </si>
  <si>
    <t xml:space="preserve">Reescrita com hero, cinco indicadores-chave, e abas Visão geral, Cenário global, Brasil, Metas e Desafios e caminhos, com gráficos próprios (barras, colunas, anéis) e fontes citadas.</t>
  </si>
  <si>
    <t xml:space="preserve">Fontes: ONU (Relatório dos ODS 2026, Relatório Estendido do Objetivo 4), UNESCO (Relatório GEM 2026), IBGE (PNAD Contínua Educação 2025, divulgada em 19/06/2026).</t>
  </si>
  <si>
    <t xml:space="preserve">Valores de 2000 e 2015 da população fora da escola (≈ 391 mi e ≈ 264 mi) são calculados a partir das variações publicadas (queda de 127 mi até 2015 e alta de 9 mi desde então, chegando a 273 mi em 2024).</t>
  </si>
  <si>
    <t xml:space="preserve">Todos os números estão em src/data/ods4.ts. Para atualizar no próximo ciclo de relatórios, edite só esse arquivo.</t>
  </si>
  <si>
    <t xml:space="preserve">6.10 Página de Agradecimentos</t>
  </si>
  <si>
    <t xml:space="preserve">Resumo do sistema, fluxo da arquitetura, tecnologias por grupo, a jornada dos três módulos do curso com "onde aparece no projeto" e uma carta de agradecimento à Recode. Textos em src/data/agradecimentos.ts.</t>
  </si>
  <si>
    <t xml:space="preserve">7. Casos de referência para testes</t>
  </si>
  <si>
    <t xml:space="preserve">As funções abaixo são puras e foram validadas em Node com os casos listados. Ao criar testes de verdade (sugestão: Vitest), comece por eles.</t>
  </si>
  <si>
    <t xml:space="preserve">agregarEscolas: escola de Teresina com 1 aluno urbano a 2,3 km e 11 min → distanciaMedia '2.30', tempoMedio 11, raioMaximoMetros 2300, nota média 4.5 com as notas 4 e 5; aluno ligado por escola.id ou por escolaId; escola sem alunos, endereço ou avaliação não produz NaN; latitude em texto vira número, texto inválido vira null.</t>
  </si>
  <si>
    <t xml:space="preserve">calcularKpis: 3 escolas, 4 alunos (2 rurais) → percentualRural '50.0'; média das médias; lista vazia → null e '0.0'.</t>
  </si>
  <si>
    <t xml:space="preserve">mediaPorRegiao: sempre 5 regiões; ordenadas por média, sem dado no fim; "Não informado" só aparece se houver escola nele. obterRegiao: PI, piauí, Piaui → Nordeste; XX → Não informado.</t>
  </si>
  <si>
    <t xml:space="preserve">mediaPorCurso: nota null não vira zero; escola fora do filtro é ignorada; cursos de mesmo nome usam a escola como rótulo; plural "1 avaliação" / "2 avaliações".</t>
  </si>
  <si>
    <t xml:space="preserve">cmpTexto / cmpNumero: ignora acento e caixa, "Escola 2" antes de "Escola 10", vazios no fim.</t>
  </si>
  <si>
    <t xml:space="preserve">iniciarCapturaConsole: o console original continua sendo chamado; níveis mapeados; Error, objeto circular e %s formatados; erro do Axios e [vite] ignorados; repetidos viram um; teto por segundo com um aviso; erros da janela e promises rejeitadas; parar() restaura tudo.</t>
  </si>
  <si>
    <t xml:space="preserve">8. Pendências e ideias</t>
  </si>
  <si>
    <t xml:space="preserve">Pendência</t>
  </si>
  <si>
    <t xml:space="preserve">Rodar npm run build e passar pelas telas nos temas claro e escuro (nada foi testado no navegador pelo Claude).</t>
  </si>
  <si>
    <t xml:space="preserve">Clicar numa barra do Relatório (região ou curso) para filtrar a aba "Escolas".</t>
  </si>
  <si>
    <t xml:space="preserve">Incluir a página de Agradecimentos na Documentacao.</t>
  </si>
  <si>
    <t xml:space="preserve">Preencher AUTOR em src/data/agradecimentos.ts e personalizar a carta (pessoas e momentos específicos do curso).</t>
  </si>
  <si>
    <t xml:space="preserve">Criar testes automatizados (Vitest) a partir da seção 7.</t>
  </si>
  <si>
    <t xml:space="preserve">Tipar os any que sobraram (ex.: lista de alunos em Alunos.tsx) com os tipos de types.ts.</t>
  </si>
  <si>
    <t xml:space="preserve">Deploy (ex.: Render): proxy /api para o backend, variáveis VITE_GOOGLE_MAPS_API_KEY e VITE_GOOGLE_MAP_ID, render.yaml.</t>
  </si>
  <si>
    <t xml:space="preserve">Criar um Map ID de produção no Google Cloud (o DEMO_MAP_ID é só para desenvolvimento).</t>
  </si>
  <si>
    <t xml:space="preserve">Tabelas no celular: o tableWrap das telas usa overflow: hidden, então o DataGrid largo é cortado em vez de rolar. Trocar para overflowX: 'auto'.</t>
  </si>
  <si>
    <t xml:space="preserve">Ideia: componente DataTable genérico para eliminar o boilerplate repetido do DataGrid.</t>
  </si>
  <si>
    <t xml:space="preserve">9. Armadilhas conhecidas</t>
  </si>
  <si>
    <t xml:space="preserve">colorScheme / AdvancedMarker exigem versão recente de @vis.gl/react-google-maps. Se o TypeScript reclamar, npm i @vis.gl/react-google-maps@latest. Trocar o tema recria o mapa (pode piscar), e o modo escuro não vale na visão Satélite.</t>
  </si>
  <si>
    <t xml:space="preserve">Central de Eventos usa memória: os eventos somem ao recarregar a página (limite de 200). Para guardar, use "Exportar".</t>
  </si>
  <si>
    <t xml:space="preserve">HMR do Vite: se services/api.ts for recarregado a quente, o registro do logger zera. Se a Central parar de receber chamadas, recarregue a página (F5).</t>
  </si>
  <si>
    <t xml:space="preserve">Captura do console cobre o que acontece depois que o app monta; avisos do React na primeira renderização não entram.</t>
  </si>
  <si>
    <t xml:space="preserve">Dados do Relatório dependem de cidade e estado do endereço da escola e de curso.escola na resposta de /cursos. Sem isso, as regiões caem em "Não informado" e os cursos ficam sem escola no rótulo.</t>
  </si>
  <si>
    <t xml:space="preserve">A média de uma região pondera cada escola igualmente; com poucas escolas ela é frágil (por isso o aviso de amostra pequena).</t>
  </si>
  <si>
    <t xml:space="preserve">Teste no celular exige novo deploy: o que roda no Render é o build publicado. Faça o commit e o push (e o deploy) e atualize a página, sem cache, para ver mudanças de layout.</t>
  </si>
  <si>
    <t xml:space="preserve">Dev: .env.local precisa de reinício do npm run dev para ser relido.</t>
  </si>
  <si>
    <t xml:space="preserve">10. Contexto do curso (para a página de Agradecimentos)</t>
  </si>
  <si>
    <t xml:space="preserve">Curso da Recode iniciado em junho de 2026, com aulas noturnas de segunda a quinta.</t>
  </si>
  <si>
    <t xml:space="preserve">Módulo 1: Lógica de Programação, JavaScript, Git, HTML e CSS, Python e OO. Módulo 2: Pandas, Machine Learning, SQL, NoSQL (MongoDB), Linux, Nuvem, Docker. Módulo 3 (Desenvolvimento de Sistemas III): JS ES6+, React + API REST, Java e OO, JDBC, Spring, Angular.</t>
  </si>
  <si>
    <t xml:space="preserve">Ferramentas das aulas: MySQL Workbench (SQL), Eclipse (Java), VS Code (Python). O projeto começou em MySQL e foi migrado para PostgreSQL com pgloader.</t>
  </si>
  <si>
    <t xml:space="preserve">Pesquisas</t>
  </si>
  <si>
    <t xml:space="preserve">Registro de pesquisas e investigações do projeto. Preencha as células amarelas, uma linha por pesquisa.</t>
  </si>
  <si>
    <t xml:space="preserve">Status: Em aberto, Em pesquisa ou Concluída. Link ou nome da fonte ajuda a reencontrar a informação depois.</t>
  </si>
  <si>
    <t xml:space="preserve">Data</t>
  </si>
  <si>
    <t xml:space="preserve">Tema</t>
  </si>
  <si>
    <t xml:space="preserve">Pergunta</t>
  </si>
  <si>
    <t xml:space="preserve">Resultado / conclusão</t>
  </si>
  <si>
    <t xml:space="preserve">Fonte ou link</t>
  </si>
  <si>
    <t xml:space="preserve">n8n em produção</t>
  </si>
  <si>
    <t xml:space="preserve">Por que o módulo N8N falha em produção?</t>
  </si>
  <si>
    <t xml:space="preserve">A investigar. A entrega do módulo fica em aberto.</t>
  </si>
  <si>
    <t xml:space="preserve">Em aberto</t>
  </si>
  <si>
    <t xml:space="preserve">Ponto</t>
  </si>
  <si>
    <t xml:space="preserve">Ideal</t>
  </si>
  <si>
    <t xml:space="preserve">Real</t>
  </si>
  <si>
    <t xml:space="preserve">Escopo</t>
  </si>
  <si>
    <t xml:space="preserve">Entregue acum.</t>
  </si>
  <si>
    <t xml:space="preserve">Parâmetros</t>
  </si>
  <si>
    <t xml:space="preserve">Sprints, componentes e premissas. Altere as células amarelas; o resto do arquivo recalcula.</t>
  </si>
  <si>
    <t xml:space="preserve">Sprint (igual ao CSV)</t>
  </si>
  <si>
    <t xml:space="preserve">Componente (itens não-épicos)</t>
  </si>
  <si>
    <t xml:space="preserve">Parâmetro</t>
  </si>
  <si>
    <t xml:space="preserve">Valor</t>
  </si>
  <si>
    <t xml:space="preserve">S01 - Descoberta e fundação</t>
  </si>
  <si>
    <t xml:space="preserve">Produto</t>
  </si>
  <si>
    <t xml:space="preserve">Data de referência ("hoje") do acompanhamento</t>
  </si>
  <si>
    <t xml:space="preserve">S02 - API e dados</t>
  </si>
  <si>
    <t xml:space="preserve">Arquitetura</t>
  </si>
  <si>
    <t xml:space="preserve">Dias corridos por semana (converte "semanas" do prazo em dias)</t>
  </si>
  <si>
    <t xml:space="preserve">S03 - Interface e cadastros</t>
  </si>
  <si>
    <t xml:space="preserve">DevOps</t>
  </si>
  <si>
    <t xml:space="preserve">S04 - Avaliações e indicadores</t>
  </si>
  <si>
    <t xml:space="preserve">Backend</t>
  </si>
  <si>
    <t xml:space="preserve">S05 - Suprimentos e segurança</t>
  </si>
  <si>
    <t xml:space="preserve">Dados</t>
  </si>
  <si>
    <t xml:space="preserve">S06 - Validação e entrega</t>
  </si>
  <si>
    <t xml:space="preserve">Frontend</t>
  </si>
  <si>
    <t xml:space="preserve">Integrações</t>
  </si>
  <si>
    <t xml:space="preserve">Dados e Analytics</t>
  </si>
  <si>
    <t xml:space="preserve">Segurança</t>
  </si>
  <si>
    <t xml:space="preserve">Qualidade</t>
  </si>
  <si>
    <t xml:space="preserve">Documentação</t>
  </si>
  <si>
    <t xml:space="preserve">Premissas (confira e ajuste)</t>
  </si>
  <si>
    <t xml:space="preserve">O CSV não traz status. Os status iniciais são uma premissa: S01–S04 concluídas, S05 concluída exceto n8n (bloqueado) e S06 em andamento (publicação concluída).</t>
  </si>
  <si>
    <t xml:space="preserve">Módulo N8N com problemas em produção e entrega em aberto (informado por Leandro em 26/10/2026): itens 1405 e 1406 marcados como Bloqueado.</t>
  </si>
  <si>
    <t xml:space="preserve">A coluna Date do CSV foi tratada como data de início do item. O fim = início + prazo médio arredondado para cima − 1 dia.</t>
  </si>
  <si>
    <t xml:space="preserve">Esforço (Scrum) = prazo médio, em dias, só das Stories; sub-tarefas fazem parte da Story e épicos são só agrupadores.</t>
  </si>
  <si>
    <t xml:space="preserve">Datas e prazos dos épicos são agregados dos itens filhos; o "prazo médio" do épico é só referência.</t>
  </si>
  <si>
    <t xml:space="preserve">Issue ID</t>
  </si>
  <si>
    <t xml:space="preserve">Issue Type</t>
  </si>
  <si>
    <t xml:space="preserve">Summary</t>
  </si>
  <si>
    <t xml:space="preserve">Description</t>
  </si>
  <si>
    <t xml:space="preserve">Epic Link</t>
  </si>
  <si>
    <t xml:space="preserve">Parent ID</t>
  </si>
  <si>
    <t xml:space="preserve">Component</t>
  </si>
  <si>
    <t xml:space="preserve">Prazo Medio</t>
  </si>
  <si>
    <t xml:space="preserve">Date</t>
  </si>
  <si>
    <t xml:space="preserve">Epic</t>
  </si>
  <si>
    <t xml:space="preserve">Produto e arquitetura</t>
  </si>
  <si>
    <t xml:space="preserve">Definir público, proposta de valor, escopo funcional e arquitetura do portal.</t>
  </si>
  <si>
    <t xml:space="preserve">2 a 3 semanas</t>
  </si>
  <si>
    <t xml:space="preserve">Story</t>
  </si>
  <si>
    <t xml:space="preserve">Levantar requisitos e público-alvo</t>
  </si>
  <si>
    <t xml:space="preserve">Descrever perfis de usuário, necessidades das escolas e objetivos alinhados ao ODS 4.</t>
  </si>
  <si>
    <t xml:space="preserve">3 a 5 dias</t>
  </si>
  <si>
    <t xml:space="preserve">Sub-task</t>
  </si>
  <si>
    <t xml:space="preserve">Mapear functionalities e fluxos</t>
  </si>
  <si>
    <t xml:space="preserve">Inventariar cadastros, avaliações, suprimentos, indicadores e principais jornadas.</t>
  </si>
  <si>
    <t xml:space="preserve">1 a 2 dias</t>
  </si>
  <si>
    <t xml:space="preserve">Definir arquitetura e modelo de dados</t>
  </si>
  <si>
    <t xml:space="preserve">Desenjar a arquitetura React, API Spring Boot e PostgreSQL; identificar entidades e relacionamentos.</t>
  </si>
  <si>
    <t xml:space="preserve">Preparar ambiente e repositório</t>
  </si>
  <si>
    <t xml:space="preserve">Documentar execução local, configuração de dependências, portas e variáveis de ambiente.</t>
  </si>
  <si>
    <t xml:space="preserve">API e persistência de dados</t>
  </si>
  <si>
    <t xml:space="preserve">Implementar a API REST e o modelo PostgreSQL para as entidades educacionais e de suprimentos.</t>
  </si>
  <si>
    <t xml:space="preserve">3 a 4 semanas</t>
  </si>
  <si>
    <t xml:space="preserve">Implementar esquema e persistência</t>
  </si>
  <si>
    <t xml:space="preserve">Criar tabelas e relacionamentos para escolas, endereços, cursos, alunos, professores, avaliações, produtos e pedidos.</t>
  </si>
  <si>
    <t xml:space="preserve">3 a 4 dias</t>
  </si>
  <si>
    <t xml:space="preserve">Configurar PostgreSQL e scripts</t>
  </si>
  <si>
    <t xml:space="preserve">Criar e validar o esquema PostgreSQL e os scripts de preparação do banco.</t>
  </si>
  <si>
    <t xml:space="preserve">Disponibilizar endpoints de cadastros</t>
  </si>
  <si>
    <t xml:space="preserve">Implementar operações REST de consulta e manutenção para escolas, endereços, cursos, alunos e professores.</t>
  </si>
  <si>
    <t xml:space="preserve">4 a 5 dias</t>
  </si>
  <si>
    <t xml:space="preserve">Validar regras e relacionamentos</t>
  </si>
  <si>
    <t xml:space="preserve">Verificar campos obrigatórios, vínculos entre entidades e respostas de erro da API.</t>
  </si>
  <si>
    <t xml:space="preserve">Implementar avaliações e indicadores de escola</t>
  </si>
  <si>
    <t xml:space="preserve">Disponibilizar endpoints para avaliações de cursos e qualidade e os dados necessários aos indicadores.</t>
  </si>
  <si>
    <t xml:space="preserve">Interface e gestão educacional</t>
  </si>
  <si>
    <t xml:space="preserve">Construir a interface web responsiva para consulta e administração dos dados do portal.</t>
  </si>
  <si>
    <t xml:space="preserve">Criar estrutura de navegação e identidade visual</t>
  </si>
  <si>
    <t xml:space="preserve">Implementar rotas, navegação, cabeçalhos, tema claro e escuro e estrutura compartilhada da aplicação.</t>
  </si>
  <si>
    <t xml:space="preserve">Implementar componentes reutilizáveis</t>
  </si>
  <si>
    <t xml:space="preserve">Criar componentes comuns para tabelas, formulários, diálogos, estados vazios e cabeçalhos.</t>
  </si>
  <si>
    <t xml:space="preserve">2 a 3 dias</t>
  </si>
  <si>
    <t xml:space="preserve">Construir telas de cadastros educacionais</t>
  </si>
  <si>
    <t xml:space="preserve">Criar telas para escolas, endereços, cursos, alunos e professores, integradas à API.</t>
  </si>
  <si>
    <t xml:space="preserve">Implementar consulta e manutenção de registros</t>
  </si>
  <si>
    <t xml:space="preserve">Permitir listar, pesquisar, criar, editar e excluir registros conforme as permissões do perfil.</t>
  </si>
  <si>
    <t xml:space="preserve">Importar cadastros a partir de planilhas</t>
  </si>
  <si>
    <t xml:space="preserve">Ler dados de Google Sheets com validação e prévia para os cadastros suportados.</t>
  </si>
  <si>
    <t xml:space="preserve">Validar colunas e dependências de importação</t>
  </si>
  <si>
    <t xml:space="preserve">Validar cabeçalhos, dados obrigatórios e ordem dos registros relacionados antes do envio.</t>
  </si>
  <si>
    <t xml:space="preserve">Avaliações e acompanhamento do ODS 4</t>
  </si>
  <si>
    <t xml:space="preserve">Disponibilizar avaliações, visualizações e informações para acompanhar a qualidade educacional.</t>
  </si>
  <si>
    <t xml:space="preserve">Criar telas de avaliação</t>
  </si>
  <si>
    <t xml:space="preserve">Implementar registro e consulta de avaliações de cursos e de qualidade das escolas.</t>
  </si>
  <si>
    <t xml:space="preserve">Integrar avaliações à API</t>
  </si>
  <si>
    <t xml:space="preserve">Conectar formulários e listagens de avaliações aos endpoints correspondentes.</t>
  </si>
  <si>
    <t xml:space="preserve">Construir dashboard e relatório gerencial</t>
  </si>
  <si>
    <t xml:space="preserve">Exibir indicadores, médias, gráficos e recortes por escola, região e curso.</t>
  </si>
  <si>
    <t xml:space="preserve">Implementar agregações e visualizações</t>
  </si>
  <si>
    <t xml:space="preserve">Calcular métricas a partir dos dados da API e apresentar gráficos e estados sem dados.</t>
  </si>
  <si>
    <t xml:space="preserve">Apresentar contexto e mapa educacional</t>
  </si>
  <si>
    <t xml:space="preserve">Exibir conteúdo informativo do ODS 4 e visualização geográfica das escolas com indicadores disponíveis.</t>
  </si>
  <si>
    <t xml:space="preserve">Integrar dados geográficos e fontes</t>
  </si>
  <si>
    <t xml:space="preserve">Conectar os dados de endereço e as fontes editoriais às visualizações do portal.</t>
  </si>
  <si>
    <t xml:space="preserve">2 dias</t>
  </si>
  <si>
    <t xml:space="preserve">Suprimentos e controle de acesso</t>
  </si>
  <si>
    <t xml:space="preserve">Implementar o fluxo de produtos e pedidos e proteger operações administrativas.</t>
  </si>
  <si>
    <t xml:space="preserve">Gerenciar produtos e pedidos</t>
  </si>
  <si>
    <t xml:space="preserve">Criar telas e operations para consultar produtos, solicitar itens e acompanhar pedidos.</t>
  </si>
  <si>
    <t xml:space="preserve">Integrar fluxo de suprimentos à API</t>
  </si>
  <si>
    <t xml:space="preserve">Conectar produtos e pedidos aos endpoints e validar os relacionamentos necessários.</t>
  </si>
  <si>
    <t xml:space="preserve">Proteger operações administrativas com autenticação</t>
  </si>
  <si>
    <t xml:space="preserve">Implementar login com token assinado e restringir operações de criação, edição e exclusão a administradores.</t>
  </si>
  <si>
    <t xml:space="preserve">Aplicar autorização e controle de sessão</t>
  </si>
  <si>
    <t xml:space="preserve">Validar token na API e controlar sessão, permissões e ações disponíveis na interface.</t>
  </si>
  <si>
    <t xml:space="preserve">Integrar automações e auditoria</t>
  </si>
  <si>
    <t xml:space="preserve">Conectar o fluxo de automação n8n com autenticação e registrar eventos relevantes da aplicação.</t>
  </si>
  <si>
    <t xml:space="preserve">Validar integração e registros de eventos</t>
  </si>
  <si>
    <t xml:space="preserve">Testar a autenticação do workflow e a captura de eventos e erros para suporte.</t>
  </si>
  <si>
    <t xml:space="preserve">Qualidade, publicação e documentação</t>
  </si>
  <si>
    <t xml:space="preserve">Validar os fluxos completos, corrigir problemas de usabilidade e preparar a publicação e a entrega.</t>
  </si>
  <si>
    <t xml:space="preserve">DevOps e Qualidade</t>
  </si>
  <si>
    <t xml:space="preserve">2 semanas</t>
  </si>
  <si>
    <t xml:space="preserve">Executar testes de integração e aceitação</t>
  </si>
  <si>
    <t xml:space="preserve">Validar endpoints, permissões, cadastros, importação, avaliações, pedidos e indicadores.</t>
  </si>
  <si>
    <t xml:space="preserve">Tratar erros da API e mensagens ao usuário</t>
  </si>
  <si>
    <t xml:space="preserve">Apresentar mensagens claras para falhas de comunicação, validação e operações não autorizadas.</t>
  </si>
  <si>
    <t xml:space="preserve">Preparar publicação dos serviços</t>
  </si>
  <si>
    <t xml:space="preserve">Configurar frontend, API, PostgreSQL, variáveis de ambiente e publicação na plataforma de hospedagem.</t>
  </si>
  <si>
    <t xml:space="preserve">3 dias</t>
  </si>
  <si>
    <t xml:space="preserve">Verificar configuração e saúde após publicação</t>
  </si>
  <si>
    <t xml:space="preserve">Confirmar conectividade entre serviços, CORS, configuração de API e disponibilidade dos fluxos principais.</t>
  </si>
  <si>
    <t xml:space="preserve">1 dia</t>
  </si>
  <si>
    <t xml:space="preserve">Concluir documentação e apresentação do produto</t>
  </si>
  <si>
    <t xml:space="preserve">Documentar instalação, importação de dados, segurança, arquitetura e proposta de valor do portal.</t>
  </si>
  <si>
    <t xml:space="preserve">Revisar conteúdo e materiais de entrega</t>
  </si>
  <si>
    <t xml:space="preserve">Conferir instruções, diagramas, presentation inicial e consistência da documentação com o sistema.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</si>
</sst>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0%"/>
    <numFmt numFmtId="167" formatCode="0.0"/>
    <numFmt numFmtId="168" formatCode="dd/mm/yyyy"/>
    <numFmt numFmtId="169" formatCode="dd"/>
    <numFmt numFmtId="170" formatCode="dd/mm"/>
    <numFmt numFmtId="171" formatCode="0"/>
    <numFmt numFmtId="172" formatCode="yyyy\-mm\-dd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ACC15"/>
      <name val="Arial"/>
      <family val="0"/>
      <charset val="1"/>
    </font>
    <font>
      <sz val="12"/>
      <color rgb="FFE2E8F0"/>
      <name val="Arial"/>
      <family val="0"/>
      <charset val="1"/>
    </font>
    <font>
      <b val="true"/>
      <sz val="12"/>
      <color rgb="FFE2E8F0"/>
      <name val="Arial"/>
      <family val="0"/>
      <charset val="1"/>
    </font>
    <font>
      <b val="true"/>
      <sz val="30"/>
      <color rgb="FFFFFFFF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b val="true"/>
      <sz val="13"/>
      <color rgb="FFFECACA"/>
      <name val="Arial"/>
      <family val="0"/>
      <charset val="1"/>
    </font>
    <font>
      <sz val="10"/>
      <color rgb="FFE2E8F0"/>
      <name val="Arial"/>
      <family val="0"/>
      <charset val="1"/>
    </font>
    <font>
      <b val="true"/>
      <sz val="13"/>
      <color rgb="FFFACC15"/>
      <name val="Calibri"/>
      <family val="2"/>
    </font>
    <font>
      <sz val="10"/>
      <color rgb="FFE2E8F0"/>
      <name val="Calibri"/>
      <family val="2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E2E8F0"/>
      <name val="Arial"/>
      <family val="0"/>
      <charset val="1"/>
    </font>
    <font>
      <sz val="9"/>
      <color rgb="FFE2E8F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ACC15"/>
      <name val="Arial"/>
      <family val="0"/>
      <charset val="1"/>
    </font>
    <font>
      <sz val="12"/>
      <color rgb="FFFFFFFF"/>
      <name val="Arial"/>
      <family val="0"/>
      <charset val="1"/>
    </font>
    <font>
      <b val="true"/>
      <sz val="14"/>
      <color rgb="FFFACC15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1"/>
      <color rgb="FFFACC15"/>
      <name val="Arial"/>
      <family val="0"/>
      <charset val="1"/>
    </font>
    <font>
      <sz val="11"/>
      <color rgb="FFE2E8F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F172A"/>
        <bgColor rgb="FF0B1220"/>
      </patternFill>
    </fill>
    <fill>
      <patternFill patternType="solid">
        <fgColor rgb="FF1E293B"/>
        <bgColor rgb="FF0F172A"/>
      </patternFill>
    </fill>
    <fill>
      <patternFill patternType="solid">
        <fgColor rgb="FF450A0A"/>
        <bgColor rgb="FF0F172A"/>
      </patternFill>
    </fill>
    <fill>
      <patternFill patternType="solid">
        <fgColor rgb="FF22C55E"/>
        <bgColor rgb="FF38BDF8"/>
      </patternFill>
    </fill>
    <fill>
      <patternFill patternType="solid">
        <fgColor rgb="FF38BDF8"/>
        <bgColor rgb="FF00CCFF"/>
      </patternFill>
    </fill>
    <fill>
      <patternFill patternType="solid">
        <fgColor rgb="FFEF4444"/>
        <bgColor rgb="FF993366"/>
      </patternFill>
    </fill>
    <fill>
      <patternFill patternType="solid">
        <fgColor rgb="FF64748B"/>
        <bgColor rgb="FF475569"/>
      </patternFill>
    </fill>
    <fill>
      <patternFill patternType="solid">
        <fgColor rgb="FFFACC15"/>
        <bgColor rgb="FFFFFF00"/>
      </patternFill>
    </fill>
    <fill>
      <patternFill patternType="solid">
        <fgColor rgb="FF0B1220"/>
        <bgColor rgb="FF0F172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 diagonalUp="false" diagonalDown="false">
      <left style="hair">
        <color rgb="FF334155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22C55E"/>
        </patternFill>
      </fill>
    </dxf>
    <dxf>
      <fill>
        <patternFill>
          <bgColor rgb="FF38BDF8"/>
        </patternFill>
      </fill>
    </dxf>
    <dxf>
      <fill>
        <patternFill>
          <bgColor rgb="FFEF4444"/>
        </patternFill>
      </fill>
    </dxf>
    <dxf>
      <fill>
        <patternFill>
          <bgColor rgb="FF64748B"/>
        </patternFill>
      </fill>
    </dxf>
    <dxf>
      <fill>
        <patternFill>
          <bgColor rgb="FF475569"/>
        </patternFill>
      </fill>
    </dxf>
    <dxf>
      <fill>
        <patternFill>
          <bgColor rgb="FFFFFFFF"/>
        </patternFill>
      </fill>
    </dxf>
    <dxf>
      <fill>
        <patternFill patternType="solid">
          <fgColor rgb="FF1E293B"/>
          <bgColor rgb="FF000000"/>
        </patternFill>
      </fill>
    </dxf>
    <dxf>
      <fill>
        <patternFill patternType="solid">
          <fgColor rgb="FFFACC15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75569"/>
      <rgbColor rgb="FF9999FF"/>
      <rgbColor rgb="FF993366"/>
      <rgbColor rgb="FFFFFFCC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CACA"/>
      <rgbColor rgb="FF3366FF"/>
      <rgbColor rgb="FF38BDF8"/>
      <rgbColor rgb="FF99CC00"/>
      <rgbColor rgb="FFFACC15"/>
      <rgbColor rgb="FFFF9900"/>
      <rgbColor rgb="FFEF4444"/>
      <rgbColor rgb="FF64748B"/>
      <rgbColor rgb="FF969696"/>
      <rgbColor rgb="FF0B1220"/>
      <rgbColor rgb="FF22C55E"/>
      <rgbColor rgb="FF0F172A"/>
      <rgbColor rgb="FF450A0A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facc15"/>
                </a:solidFill>
                <a:latin typeface="Calibri"/>
              </a:defRPr>
            </a:pPr>
            <a:r>
              <a:rPr b="1" sz="1300" spc="-1" strike="noStrike">
                <a:solidFill>
                  <a:srgbClr val="facc15"/>
                </a:solidFill>
                <a:latin typeface="Calibri"/>
              </a:rPr>
              <a:t>Burndown · esforço restante (dias)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Calc!B1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rgbClr val="64748b"/>
            </a:solidFill>
            <a:ln w="28080">
              <a:solidFill>
                <a:srgbClr val="64748b"/>
              </a:solidFill>
              <a:prstDash val="dash"/>
              <a:round/>
            </a:ln>
          </c:spPr>
          <c:marker>
            <c:symbol val="circle"/>
            <c:size val="7"/>
            <c:spPr>
              <a:solidFill>
                <a:srgbClr val="64748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Calc!$A$2:$A$8</c:f>
              <c:strCache>
                <c:ptCount val="7"/>
                <c:pt idx="0">
                  <c:v>Início</c:v>
                </c:pt>
                <c:pt idx="1">
                  <c:v>S01</c:v>
                </c:pt>
                <c:pt idx="2">
                  <c:v>S02</c:v>
                </c:pt>
                <c:pt idx="3">
                  <c:v>S03</c:v>
                </c:pt>
                <c:pt idx="4">
                  <c:v>S04</c:v>
                </c:pt>
                <c:pt idx="5">
                  <c:v>S05</c:v>
                </c:pt>
                <c:pt idx="6">
                  <c:v>S06</c:v>
                </c:pt>
              </c:strCache>
            </c:strRef>
          </c:cat>
          <c:val>
            <c:numRef>
              <c:f>Calc!$B$2:$B$8</c:f>
              <c:numCache>
                <c:formatCode>0.0</c:formatCode>
                <c:ptCount val="7"/>
                <c:pt idx="0">
                  <c:v>63</c:v>
                </c:pt>
                <c:pt idx="1">
                  <c:v>52.5</c:v>
                </c:pt>
                <c:pt idx="2">
                  <c:v>42</c:v>
                </c:pt>
                <c:pt idx="3">
                  <c:v>31.5</c:v>
                </c:pt>
                <c:pt idx="4">
                  <c:v>21</c:v>
                </c:pt>
                <c:pt idx="5">
                  <c:v>10.5</c:v>
                </c:pt>
                <c:pt idx="6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Calc!C1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facc15"/>
            </a:solidFill>
            <a:ln w="28080">
              <a:solidFill>
                <a:srgbClr val="facc15"/>
              </a:solidFill>
              <a:round/>
            </a:ln>
          </c:spPr>
          <c:marker>
            <c:symbol val="circle"/>
            <c:size val="7"/>
            <c:spPr>
              <a:solidFill>
                <a:srgbClr val="facc1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Calc!$A$2:$A$8</c:f>
              <c:strCache>
                <c:ptCount val="7"/>
                <c:pt idx="0">
                  <c:v>Início</c:v>
                </c:pt>
                <c:pt idx="1">
                  <c:v>S01</c:v>
                </c:pt>
                <c:pt idx="2">
                  <c:v>S02</c:v>
                </c:pt>
                <c:pt idx="3">
                  <c:v>S03</c:v>
                </c:pt>
                <c:pt idx="4">
                  <c:v>S04</c:v>
                </c:pt>
                <c:pt idx="5">
                  <c:v>S05</c:v>
                </c:pt>
                <c:pt idx="6">
                  <c:v>S06</c:v>
                </c:pt>
              </c:strCache>
            </c:strRef>
          </c:cat>
          <c:val>
            <c:numRef>
              <c:f>Calc!$C$2:$C$8</c:f>
              <c:numCache>
                <c:formatCode>0.0</c:formatCode>
                <c:ptCount val="7"/>
                <c:pt idx="0">
                  <c:v>63</c:v>
                </c:pt>
                <c:pt idx="1">
                  <c:v>55</c:v>
                </c:pt>
                <c:pt idx="2">
                  <c:v>43</c:v>
                </c:pt>
                <c:pt idx="3">
                  <c:v>30.5</c:v>
                </c:pt>
                <c:pt idx="4">
                  <c:v>20</c:v>
                </c:pt>
                <c:pt idx="5">
                  <c:v>12.5</c:v>
                </c:pt>
                <c:pt idx="6">
                  <c:v>9.5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3042498"/>
        <c:axId val="59633205"/>
      </c:lineChart>
      <c:catAx>
        <c:axId val="630424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59633205"/>
        <c:crosses val="autoZero"/>
        <c:auto val="1"/>
        <c:lblAlgn val="ctr"/>
        <c:lblOffset val="100"/>
        <c:noMultiLvlLbl val="0"/>
      </c:catAx>
      <c:valAx>
        <c:axId val="5963320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334155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63042498"/>
        <c:crosses val="autoZero"/>
        <c:crossBetween val="between"/>
      </c:valAx>
      <c:spPr>
        <a:solidFill>
          <a:srgbClr val="1e293b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e2e8f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1e293b"/>
    </a:solidFill>
    <a:ln w="9360">
      <a:solidFill>
        <a:srgbClr val="334155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facc15"/>
                </a:solidFill>
                <a:latin typeface="Calibri"/>
              </a:defRPr>
            </a:pPr>
            <a:r>
              <a:rPr b="1" sz="1300" spc="-1" strike="noStrike">
                <a:solidFill>
                  <a:srgbClr val="facc15"/>
                </a:solidFill>
                <a:latin typeface="Calibri"/>
              </a:rPr>
              <a:t>Itens por status em cada sprint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Calc!H1</c:f>
              <c:strCache>
                <c:ptCount val="1"/>
                <c:pt idx="0">
                  <c:v>A fazer</c:v>
                </c:pt>
              </c:strCache>
            </c:strRef>
          </c:tx>
          <c:spPr>
            <a:solidFill>
              <a:srgbClr val="64748b"/>
            </a:solidFill>
            <a:ln w="0">
              <a:solidFill>
                <a:srgbClr val="64748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Calc!$G$2:$G$7</c:f>
              <c:strCache>
                <c:ptCount val="6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</c:strCache>
            </c:strRef>
          </c:cat>
          <c:val>
            <c:numRef>
              <c:f>Calc!$H$2:$H$7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Calc!I1</c:f>
              <c:strCache>
                <c:ptCount val="1"/>
                <c:pt idx="0">
                  <c:v>Em andamento</c:v>
                </c:pt>
              </c:strCache>
            </c:strRef>
          </c:tx>
          <c:spPr>
            <a:solidFill>
              <a:srgbClr val="38bdf8"/>
            </a:solidFill>
            <a:ln w="0">
              <a:solidFill>
                <a:srgbClr val="38bdf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Calc!$G$2:$G$7</c:f>
              <c:strCache>
                <c:ptCount val="6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</c:strCache>
            </c:strRef>
          </c:cat>
          <c:val>
            <c:numRef>
              <c:f>Calc!$I$2:$I$7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</c:numCache>
            </c:numRef>
          </c:val>
        </c:ser>
        <c:ser>
          <c:idx val="2"/>
          <c:order val="2"/>
          <c:tx>
            <c:strRef>
              <c:f>Calc!J1</c:f>
              <c:strCache>
                <c:ptCount val="1"/>
                <c:pt idx="0">
                  <c:v>Concluído</c:v>
                </c:pt>
              </c:strCache>
            </c:strRef>
          </c:tx>
          <c:spPr>
            <a:solidFill>
              <a:srgbClr val="22c55e"/>
            </a:solidFill>
            <a:ln w="0">
              <a:solidFill>
                <a:srgbClr val="22c55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Calc!$G$2:$G$7</c:f>
              <c:strCache>
                <c:ptCount val="6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</c:strCache>
            </c:strRef>
          </c:cat>
          <c:val>
            <c:numRef>
              <c:f>Calc!$J$2:$J$7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</c:ser>
        <c:ser>
          <c:idx val="3"/>
          <c:order val="3"/>
          <c:tx>
            <c:strRef>
              <c:f>Calc!K1</c:f>
              <c:strCache>
                <c:ptCount val="1"/>
                <c:pt idx="0">
                  <c:v>Bloqueado</c:v>
                </c:pt>
              </c:strCache>
            </c:strRef>
          </c:tx>
          <c:spPr>
            <a:solidFill>
              <a:srgbClr val="ef4444"/>
            </a:solidFill>
            <a:ln w="0">
              <a:solidFill>
                <a:srgbClr val="ef444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Calc!$G$2:$G$7</c:f>
              <c:strCache>
                <c:ptCount val="6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</c:strCache>
            </c:strRef>
          </c:cat>
          <c:val>
            <c:numRef>
              <c:f>Calc!$K$2:$K$7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</c:ser>
        <c:gapWidth val="60"/>
        <c:overlap val="100"/>
        <c:axId val="45821776"/>
        <c:axId val="56621456"/>
      </c:barChart>
      <c:catAx>
        <c:axId val="4582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56621456"/>
        <c:crosses val="autoZero"/>
        <c:auto val="1"/>
        <c:lblAlgn val="ctr"/>
        <c:lblOffset val="100"/>
        <c:noMultiLvlLbl val="0"/>
      </c:catAx>
      <c:valAx>
        <c:axId val="5662145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334155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45821776"/>
        <c:crosses val="autoZero"/>
        <c:crossBetween val="between"/>
      </c:valAx>
      <c:spPr>
        <a:solidFill>
          <a:srgbClr val="1e293b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e2e8f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1e293b"/>
    </a:solidFill>
    <a:ln w="9360">
      <a:solidFill>
        <a:srgbClr val="334155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facc15"/>
                </a:solidFill>
                <a:latin typeface="Calibri"/>
              </a:defRPr>
            </a:pPr>
            <a:r>
              <a:rPr b="1" sz="1300" spc="-1" strike="noStrike">
                <a:solidFill>
                  <a:srgbClr val="facc15"/>
                </a:solidFill>
                <a:latin typeface="Calibri"/>
              </a:rPr>
              <a:t>Burndown · esforço restante (dias)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Calc!B1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rgbClr val="64748b"/>
            </a:solidFill>
            <a:ln w="28080">
              <a:solidFill>
                <a:srgbClr val="64748b"/>
              </a:solidFill>
              <a:prstDash val="dash"/>
              <a:round/>
            </a:ln>
          </c:spPr>
          <c:marker>
            <c:symbol val="circle"/>
            <c:size val="7"/>
            <c:spPr>
              <a:solidFill>
                <a:srgbClr val="64748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Calc!$A$2:$A$8</c:f>
              <c:strCache>
                <c:ptCount val="7"/>
                <c:pt idx="0">
                  <c:v>Início</c:v>
                </c:pt>
                <c:pt idx="1">
                  <c:v>S01</c:v>
                </c:pt>
                <c:pt idx="2">
                  <c:v>S02</c:v>
                </c:pt>
                <c:pt idx="3">
                  <c:v>S03</c:v>
                </c:pt>
                <c:pt idx="4">
                  <c:v>S04</c:v>
                </c:pt>
                <c:pt idx="5">
                  <c:v>S05</c:v>
                </c:pt>
                <c:pt idx="6">
                  <c:v>S06</c:v>
                </c:pt>
              </c:strCache>
            </c:strRef>
          </c:cat>
          <c:val>
            <c:numRef>
              <c:f>Calc!$B$2:$B$8</c:f>
              <c:numCache>
                <c:formatCode>0.0</c:formatCode>
                <c:ptCount val="7"/>
                <c:pt idx="0">
                  <c:v>63</c:v>
                </c:pt>
                <c:pt idx="1">
                  <c:v>52.5</c:v>
                </c:pt>
                <c:pt idx="2">
                  <c:v>42</c:v>
                </c:pt>
                <c:pt idx="3">
                  <c:v>31.5</c:v>
                </c:pt>
                <c:pt idx="4">
                  <c:v>21</c:v>
                </c:pt>
                <c:pt idx="5">
                  <c:v>10.5</c:v>
                </c:pt>
                <c:pt idx="6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Calc!C1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facc15"/>
            </a:solidFill>
            <a:ln w="28080">
              <a:solidFill>
                <a:srgbClr val="facc15"/>
              </a:solidFill>
              <a:round/>
            </a:ln>
          </c:spPr>
          <c:marker>
            <c:symbol val="circle"/>
            <c:size val="7"/>
            <c:spPr>
              <a:solidFill>
                <a:srgbClr val="facc1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Calc!$A$2:$A$8</c:f>
              <c:strCache>
                <c:ptCount val="7"/>
                <c:pt idx="0">
                  <c:v>Início</c:v>
                </c:pt>
                <c:pt idx="1">
                  <c:v>S01</c:v>
                </c:pt>
                <c:pt idx="2">
                  <c:v>S02</c:v>
                </c:pt>
                <c:pt idx="3">
                  <c:v>S03</c:v>
                </c:pt>
                <c:pt idx="4">
                  <c:v>S04</c:v>
                </c:pt>
                <c:pt idx="5">
                  <c:v>S05</c:v>
                </c:pt>
                <c:pt idx="6">
                  <c:v>S06</c:v>
                </c:pt>
              </c:strCache>
            </c:strRef>
          </c:cat>
          <c:val>
            <c:numRef>
              <c:f>Calc!$C$2:$C$8</c:f>
              <c:numCache>
                <c:formatCode>0.0</c:formatCode>
                <c:ptCount val="7"/>
                <c:pt idx="0">
                  <c:v>63</c:v>
                </c:pt>
                <c:pt idx="1">
                  <c:v>55</c:v>
                </c:pt>
                <c:pt idx="2">
                  <c:v>43</c:v>
                </c:pt>
                <c:pt idx="3">
                  <c:v>30.5</c:v>
                </c:pt>
                <c:pt idx="4">
                  <c:v>20</c:v>
                </c:pt>
                <c:pt idx="5">
                  <c:v>12.5</c:v>
                </c:pt>
                <c:pt idx="6">
                  <c:v>9.5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4627058"/>
        <c:axId val="25239353"/>
      </c:lineChart>
      <c:catAx>
        <c:axId val="146270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25239353"/>
        <c:crosses val="autoZero"/>
        <c:auto val="1"/>
        <c:lblAlgn val="ctr"/>
        <c:lblOffset val="100"/>
        <c:noMultiLvlLbl val="0"/>
      </c:catAx>
      <c:valAx>
        <c:axId val="2523935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334155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14627058"/>
        <c:crosses val="autoZero"/>
        <c:crossBetween val="between"/>
      </c:valAx>
      <c:spPr>
        <a:solidFill>
          <a:srgbClr val="1e293b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e2e8f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1e293b"/>
    </a:solidFill>
    <a:ln w="9360">
      <a:solidFill>
        <a:srgbClr val="334155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facc15"/>
                </a:solidFill>
                <a:latin typeface="Calibri"/>
              </a:defRPr>
            </a:pPr>
            <a:r>
              <a:rPr b="1" sz="1300" spc="-1" strike="noStrike">
                <a:solidFill>
                  <a:srgbClr val="facc15"/>
                </a:solidFill>
                <a:latin typeface="Calibri"/>
              </a:rPr>
              <a:t>Burnup · escopo x entregue (dias)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Calc!D1</c:f>
              <c:strCache>
                <c:ptCount val="1"/>
                <c:pt idx="0">
                  <c:v>Escopo</c:v>
                </c:pt>
              </c:strCache>
            </c:strRef>
          </c:tx>
          <c:spPr>
            <a:solidFill>
              <a:srgbClr val="64748b"/>
            </a:solidFill>
            <a:ln w="28080">
              <a:solidFill>
                <a:srgbClr val="64748b"/>
              </a:solidFill>
              <a:prstDash val="dash"/>
              <a:round/>
            </a:ln>
          </c:spPr>
          <c:marker>
            <c:symbol val="circle"/>
            <c:size val="7"/>
            <c:spPr>
              <a:solidFill>
                <a:srgbClr val="64748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Calc!$A$2:$A$8</c:f>
              <c:strCache>
                <c:ptCount val="7"/>
                <c:pt idx="0">
                  <c:v>Início</c:v>
                </c:pt>
                <c:pt idx="1">
                  <c:v>S01</c:v>
                </c:pt>
                <c:pt idx="2">
                  <c:v>S02</c:v>
                </c:pt>
                <c:pt idx="3">
                  <c:v>S03</c:v>
                </c:pt>
                <c:pt idx="4">
                  <c:v>S04</c:v>
                </c:pt>
                <c:pt idx="5">
                  <c:v>S05</c:v>
                </c:pt>
                <c:pt idx="6">
                  <c:v>S06</c:v>
                </c:pt>
              </c:strCache>
            </c:strRef>
          </c:cat>
          <c:val>
            <c:numRef>
              <c:f>Calc!$D$2:$D$8</c:f>
              <c:numCache>
                <c:formatCode>0.0</c:formatCode>
                <c:ptCount val="7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63</c:v>
                </c:pt>
                <c:pt idx="6">
                  <c:v>63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Calc!E1</c:f>
              <c:strCache>
                <c:ptCount val="1"/>
                <c:pt idx="0">
                  <c:v>Entregue acum.</c:v>
                </c:pt>
              </c:strCache>
            </c:strRef>
          </c:tx>
          <c:spPr>
            <a:solidFill>
              <a:srgbClr val="22c55e"/>
            </a:solidFill>
            <a:ln w="28080">
              <a:solidFill>
                <a:srgbClr val="22c55e"/>
              </a:solidFill>
              <a:round/>
            </a:ln>
          </c:spPr>
          <c:marker>
            <c:symbol val="circle"/>
            <c:size val="7"/>
            <c:spPr>
              <a:solidFill>
                <a:srgbClr val="22c55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Calc!$A$2:$A$8</c:f>
              <c:strCache>
                <c:ptCount val="7"/>
                <c:pt idx="0">
                  <c:v>Início</c:v>
                </c:pt>
                <c:pt idx="1">
                  <c:v>S01</c:v>
                </c:pt>
                <c:pt idx="2">
                  <c:v>S02</c:v>
                </c:pt>
                <c:pt idx="3">
                  <c:v>S03</c:v>
                </c:pt>
                <c:pt idx="4">
                  <c:v>S04</c:v>
                </c:pt>
                <c:pt idx="5">
                  <c:v>S05</c:v>
                </c:pt>
                <c:pt idx="6">
                  <c:v>S06</c:v>
                </c:pt>
              </c:strCache>
            </c:strRef>
          </c:cat>
          <c:val>
            <c:numRef>
              <c:f>Calc!$E$2:$E$8</c:f>
              <c:numCache>
                <c:formatCode>0.0</c:formatCode>
                <c:ptCount val="7"/>
                <c:pt idx="0">
                  <c:v>0</c:v>
                </c:pt>
                <c:pt idx="1">
                  <c:v>8</c:v>
                </c:pt>
                <c:pt idx="2">
                  <c:v>20</c:v>
                </c:pt>
                <c:pt idx="3">
                  <c:v>32.5</c:v>
                </c:pt>
                <c:pt idx="4">
                  <c:v>43</c:v>
                </c:pt>
                <c:pt idx="5">
                  <c:v>50.5</c:v>
                </c:pt>
                <c:pt idx="6">
                  <c:v>53.5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6992579"/>
        <c:axId val="16337434"/>
      </c:lineChart>
      <c:catAx>
        <c:axId val="969925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16337434"/>
        <c:crosses val="autoZero"/>
        <c:auto val="1"/>
        <c:lblAlgn val="ctr"/>
        <c:lblOffset val="100"/>
        <c:noMultiLvlLbl val="0"/>
      </c:catAx>
      <c:valAx>
        <c:axId val="1633743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334155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96992579"/>
        <c:crosses val="autoZero"/>
        <c:crossBetween val="between"/>
      </c:valAx>
      <c:spPr>
        <a:solidFill>
          <a:srgbClr val="1e293b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e2e8f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1e293b"/>
    </a:solidFill>
    <a:ln w="9360">
      <a:solidFill>
        <a:srgbClr val="334155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facc15"/>
                </a:solidFill>
                <a:latin typeface="Calibri"/>
              </a:defRPr>
            </a:pPr>
            <a:r>
              <a:rPr b="1" sz="1300" spc="-1" strike="noStrike">
                <a:solidFill>
                  <a:srgbClr val="facc15"/>
                </a:solidFill>
                <a:latin typeface="Calibri"/>
              </a:rPr>
              <a:t>Velocidade · planejado x concluído (dias)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Scrum!H5</c:f>
              <c:strCache>
                <c:ptCount val="1"/>
                <c:pt idx="0">
                  <c:v>Planejado (dias)</c:v>
                </c:pt>
              </c:strCache>
            </c:strRef>
          </c:tx>
          <c:spPr>
            <a:solidFill>
              <a:srgbClr val="64748b"/>
            </a:solidFill>
            <a:ln w="0">
              <a:solidFill>
                <a:srgbClr val="64748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Calc!$G$2:$G$7</c:f>
              <c:strCache>
                <c:ptCount val="6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</c:strCache>
            </c:strRef>
          </c:cat>
          <c:val>
            <c:numRef>
              <c:f>Scrum!$H$6:$H$11</c:f>
              <c:numCache>
                <c:formatCode>0.0</c:formatCode>
                <c:ptCount val="6"/>
                <c:pt idx="0">
                  <c:v>8</c:v>
                </c:pt>
                <c:pt idx="1">
                  <c:v>12</c:v>
                </c:pt>
                <c:pt idx="2">
                  <c:v>12.5</c:v>
                </c:pt>
                <c:pt idx="3">
                  <c:v>10.5</c:v>
                </c:pt>
                <c:pt idx="4">
                  <c:v>11</c:v>
                </c:pt>
                <c:pt idx="5">
                  <c:v>9</c:v>
                </c:pt>
              </c:numCache>
            </c:numRef>
          </c:val>
        </c:ser>
        <c:ser>
          <c:idx val="1"/>
          <c:order val="1"/>
          <c:tx>
            <c:strRef>
              <c:f>Scrum!I5</c:f>
              <c:strCache>
                <c:ptCount val="1"/>
                <c:pt idx="0">
                  <c:v>Concluído (dias)</c:v>
                </c:pt>
              </c:strCache>
            </c:strRef>
          </c:tx>
          <c:spPr>
            <a:solidFill>
              <a:srgbClr val="22c55e"/>
            </a:solidFill>
            <a:ln w="0">
              <a:solidFill>
                <a:srgbClr val="22c55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Calc!$G$2:$G$7</c:f>
              <c:strCache>
                <c:ptCount val="6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</c:strCache>
            </c:strRef>
          </c:cat>
          <c:val>
            <c:numRef>
              <c:f>Scrum!$I$6:$I$11</c:f>
              <c:numCache>
                <c:formatCode>0.0</c:formatCode>
                <c:ptCount val="6"/>
                <c:pt idx="0">
                  <c:v>8</c:v>
                </c:pt>
                <c:pt idx="1">
                  <c:v>12</c:v>
                </c:pt>
                <c:pt idx="2">
                  <c:v>12.5</c:v>
                </c:pt>
                <c:pt idx="3">
                  <c:v>10.5</c:v>
                </c:pt>
                <c:pt idx="4">
                  <c:v>7.5</c:v>
                </c:pt>
                <c:pt idx="5">
                  <c:v>3</c:v>
                </c:pt>
              </c:numCache>
            </c:numRef>
          </c:val>
        </c:ser>
        <c:gapWidth val="60"/>
        <c:overlap val="0"/>
        <c:axId val="80091001"/>
        <c:axId val="42221702"/>
      </c:barChart>
      <c:catAx>
        <c:axId val="80091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42221702"/>
        <c:crosses val="autoZero"/>
        <c:auto val="1"/>
        <c:lblAlgn val="ctr"/>
        <c:lblOffset val="100"/>
        <c:noMultiLvlLbl val="0"/>
      </c:catAx>
      <c:valAx>
        <c:axId val="4222170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334155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80091001"/>
        <c:crosses val="autoZero"/>
        <c:crossBetween val="between"/>
      </c:valAx>
      <c:spPr>
        <a:solidFill>
          <a:srgbClr val="1e293b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e2e8f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1e293b"/>
    </a:solidFill>
    <a:ln w="9360">
      <a:solidFill>
        <a:srgbClr val="334155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facc15"/>
                </a:solidFill>
                <a:latin typeface="Calibri"/>
              </a:defRPr>
            </a:pPr>
            <a:r>
              <a:rPr b="1" sz="1300" spc="-1" strike="noStrike">
                <a:solidFill>
                  <a:srgbClr val="facc15"/>
                </a:solidFill>
                <a:latin typeface="Calibri"/>
              </a:rPr>
              <a:t>Itens por status em cada sprint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Calc!H1</c:f>
              <c:strCache>
                <c:ptCount val="1"/>
                <c:pt idx="0">
                  <c:v>A fazer</c:v>
                </c:pt>
              </c:strCache>
            </c:strRef>
          </c:tx>
          <c:spPr>
            <a:solidFill>
              <a:srgbClr val="64748b"/>
            </a:solidFill>
            <a:ln w="0">
              <a:solidFill>
                <a:srgbClr val="64748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Calc!$G$2:$G$7</c:f>
              <c:strCache>
                <c:ptCount val="6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</c:strCache>
            </c:strRef>
          </c:cat>
          <c:val>
            <c:numRef>
              <c:f>Calc!$H$2:$H$7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Calc!I1</c:f>
              <c:strCache>
                <c:ptCount val="1"/>
                <c:pt idx="0">
                  <c:v>Em andamento</c:v>
                </c:pt>
              </c:strCache>
            </c:strRef>
          </c:tx>
          <c:spPr>
            <a:solidFill>
              <a:srgbClr val="38bdf8"/>
            </a:solidFill>
            <a:ln w="0">
              <a:solidFill>
                <a:srgbClr val="38bdf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Calc!$G$2:$G$7</c:f>
              <c:strCache>
                <c:ptCount val="6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</c:strCache>
            </c:strRef>
          </c:cat>
          <c:val>
            <c:numRef>
              <c:f>Calc!$I$2:$I$7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</c:numCache>
            </c:numRef>
          </c:val>
        </c:ser>
        <c:ser>
          <c:idx val="2"/>
          <c:order val="2"/>
          <c:tx>
            <c:strRef>
              <c:f>Calc!J1</c:f>
              <c:strCache>
                <c:ptCount val="1"/>
                <c:pt idx="0">
                  <c:v>Concluído</c:v>
                </c:pt>
              </c:strCache>
            </c:strRef>
          </c:tx>
          <c:spPr>
            <a:solidFill>
              <a:srgbClr val="22c55e"/>
            </a:solidFill>
            <a:ln w="0">
              <a:solidFill>
                <a:srgbClr val="22c55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Calc!$G$2:$G$7</c:f>
              <c:strCache>
                <c:ptCount val="6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</c:strCache>
            </c:strRef>
          </c:cat>
          <c:val>
            <c:numRef>
              <c:f>Calc!$J$2:$J$7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</c:ser>
        <c:ser>
          <c:idx val="3"/>
          <c:order val="3"/>
          <c:tx>
            <c:strRef>
              <c:f>Calc!K1</c:f>
              <c:strCache>
                <c:ptCount val="1"/>
                <c:pt idx="0">
                  <c:v>Bloqueado</c:v>
                </c:pt>
              </c:strCache>
            </c:strRef>
          </c:tx>
          <c:spPr>
            <a:solidFill>
              <a:srgbClr val="ef4444"/>
            </a:solidFill>
            <a:ln w="0">
              <a:solidFill>
                <a:srgbClr val="ef444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Calc!$G$2:$G$7</c:f>
              <c:strCache>
                <c:ptCount val="6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</c:strCache>
            </c:strRef>
          </c:cat>
          <c:val>
            <c:numRef>
              <c:f>Calc!$K$2:$K$7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</c:ser>
        <c:gapWidth val="60"/>
        <c:overlap val="100"/>
        <c:axId val="69815915"/>
        <c:axId val="53081050"/>
      </c:barChart>
      <c:catAx>
        <c:axId val="698159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53081050"/>
        <c:crosses val="autoZero"/>
        <c:auto val="1"/>
        <c:lblAlgn val="ctr"/>
        <c:lblOffset val="100"/>
        <c:noMultiLvlLbl val="0"/>
      </c:catAx>
      <c:valAx>
        <c:axId val="5308105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334155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69815915"/>
        <c:crosses val="autoZero"/>
        <c:crossBetween val="between"/>
      </c:valAx>
      <c:spPr>
        <a:solidFill>
          <a:srgbClr val="1e293b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e2e8f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1e293b"/>
    </a:solidFill>
    <a:ln w="9360">
      <a:solidFill>
        <a:srgbClr val="334155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facc15"/>
                </a:solidFill>
                <a:latin typeface="Calibri"/>
              </a:defRPr>
            </a:pPr>
            <a:r>
              <a:rPr b="1" sz="1300" spc="-1" strike="noStrike">
                <a:solidFill>
                  <a:srgbClr val="facc15"/>
                </a:solidFill>
                <a:latin typeface="Calibri"/>
              </a:rPr>
              <a:t>Itens por componente e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Calc!N1</c:f>
              <c:strCache>
                <c:ptCount val="1"/>
                <c:pt idx="0">
                  <c:v>A fazer</c:v>
                </c:pt>
              </c:strCache>
            </c:strRef>
          </c:tx>
          <c:spPr>
            <a:solidFill>
              <a:srgbClr val="64748b"/>
            </a:solidFill>
            <a:ln w="0">
              <a:solidFill>
                <a:srgbClr val="64748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Calc!$M$2:$M$12</c:f>
              <c:strCache>
                <c:ptCount val="11"/>
                <c:pt idx="0">
                  <c:v>Produto</c:v>
                </c:pt>
                <c:pt idx="1">
                  <c:v>Arquitetura</c:v>
                </c:pt>
                <c:pt idx="2">
                  <c:v>DevOps</c:v>
                </c:pt>
                <c:pt idx="3">
                  <c:v>Backend</c:v>
                </c:pt>
                <c:pt idx="4">
                  <c:v>Dados</c:v>
                </c:pt>
                <c:pt idx="5">
                  <c:v>Frontend</c:v>
                </c:pt>
                <c:pt idx="6">
                  <c:v>Integrações</c:v>
                </c:pt>
                <c:pt idx="7">
                  <c:v>Dados e Analytics</c:v>
                </c:pt>
                <c:pt idx="8">
                  <c:v>Segurança</c:v>
                </c:pt>
                <c:pt idx="9">
                  <c:v>Qualidade</c:v>
                </c:pt>
                <c:pt idx="10">
                  <c:v>Documentação</c:v>
                </c:pt>
              </c:strCache>
            </c:strRef>
          </c:cat>
          <c:val>
            <c:numRef>
              <c:f>Calc!$N$2:$N$12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strRef>
              <c:f>Calc!O1</c:f>
              <c:strCache>
                <c:ptCount val="1"/>
                <c:pt idx="0">
                  <c:v>Em andamento</c:v>
                </c:pt>
              </c:strCache>
            </c:strRef>
          </c:tx>
          <c:spPr>
            <a:solidFill>
              <a:srgbClr val="38bdf8"/>
            </a:solidFill>
            <a:ln w="0">
              <a:solidFill>
                <a:srgbClr val="38bdf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Calc!$M$2:$M$12</c:f>
              <c:strCache>
                <c:ptCount val="11"/>
                <c:pt idx="0">
                  <c:v>Produto</c:v>
                </c:pt>
                <c:pt idx="1">
                  <c:v>Arquitetura</c:v>
                </c:pt>
                <c:pt idx="2">
                  <c:v>DevOps</c:v>
                </c:pt>
                <c:pt idx="3">
                  <c:v>Backend</c:v>
                </c:pt>
                <c:pt idx="4">
                  <c:v>Dados</c:v>
                </c:pt>
                <c:pt idx="5">
                  <c:v>Frontend</c:v>
                </c:pt>
                <c:pt idx="6">
                  <c:v>Integrações</c:v>
                </c:pt>
                <c:pt idx="7">
                  <c:v>Dados e Analytics</c:v>
                </c:pt>
                <c:pt idx="8">
                  <c:v>Segurança</c:v>
                </c:pt>
                <c:pt idx="9">
                  <c:v>Qualidade</c:v>
                </c:pt>
                <c:pt idx="10">
                  <c:v>Documentação</c:v>
                </c:pt>
              </c:strCache>
            </c:strRef>
          </c:cat>
          <c:val>
            <c:numRef>
              <c:f>Calc!$O$2:$O$12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</c:numCache>
            </c:numRef>
          </c:val>
        </c:ser>
        <c:ser>
          <c:idx val="2"/>
          <c:order val="2"/>
          <c:tx>
            <c:strRef>
              <c:f>Calc!P1</c:f>
              <c:strCache>
                <c:ptCount val="1"/>
                <c:pt idx="0">
                  <c:v>Concluído</c:v>
                </c:pt>
              </c:strCache>
            </c:strRef>
          </c:tx>
          <c:spPr>
            <a:solidFill>
              <a:srgbClr val="22c55e"/>
            </a:solidFill>
            <a:ln w="0">
              <a:solidFill>
                <a:srgbClr val="22c55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Calc!$M$2:$M$12</c:f>
              <c:strCache>
                <c:ptCount val="11"/>
                <c:pt idx="0">
                  <c:v>Produto</c:v>
                </c:pt>
                <c:pt idx="1">
                  <c:v>Arquitetura</c:v>
                </c:pt>
                <c:pt idx="2">
                  <c:v>DevOps</c:v>
                </c:pt>
                <c:pt idx="3">
                  <c:v>Backend</c:v>
                </c:pt>
                <c:pt idx="4">
                  <c:v>Dados</c:v>
                </c:pt>
                <c:pt idx="5">
                  <c:v>Frontend</c:v>
                </c:pt>
                <c:pt idx="6">
                  <c:v>Integrações</c:v>
                </c:pt>
                <c:pt idx="7">
                  <c:v>Dados e Analytics</c:v>
                </c:pt>
                <c:pt idx="8">
                  <c:v>Segurança</c:v>
                </c:pt>
                <c:pt idx="9">
                  <c:v>Qualidade</c:v>
                </c:pt>
                <c:pt idx="10">
                  <c:v>Documentação</c:v>
                </c:pt>
              </c:strCache>
            </c:strRef>
          </c:cat>
          <c:val>
            <c:numRef>
              <c:f>Calc!$P$2:$P$12</c:f>
              <c:numCache>
                <c:formatCode>General</c:formatCode>
                <c:ptCount val="11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1</c:v>
                </c:pt>
                <c:pt idx="5">
                  <c:v>7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3"/>
          <c:order val="3"/>
          <c:tx>
            <c:strRef>
              <c:f>Calc!Q1</c:f>
              <c:strCache>
                <c:ptCount val="1"/>
                <c:pt idx="0">
                  <c:v>Bloqueado</c:v>
                </c:pt>
              </c:strCache>
            </c:strRef>
          </c:tx>
          <c:spPr>
            <a:solidFill>
              <a:srgbClr val="ef4444"/>
            </a:solidFill>
            <a:ln w="0">
              <a:solidFill>
                <a:srgbClr val="ef444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Calc!$M$2:$M$12</c:f>
              <c:strCache>
                <c:ptCount val="11"/>
                <c:pt idx="0">
                  <c:v>Produto</c:v>
                </c:pt>
                <c:pt idx="1">
                  <c:v>Arquitetura</c:v>
                </c:pt>
                <c:pt idx="2">
                  <c:v>DevOps</c:v>
                </c:pt>
                <c:pt idx="3">
                  <c:v>Backend</c:v>
                </c:pt>
                <c:pt idx="4">
                  <c:v>Dados</c:v>
                </c:pt>
                <c:pt idx="5">
                  <c:v>Frontend</c:v>
                </c:pt>
                <c:pt idx="6">
                  <c:v>Integrações</c:v>
                </c:pt>
                <c:pt idx="7">
                  <c:v>Dados e Analytics</c:v>
                </c:pt>
                <c:pt idx="8">
                  <c:v>Segurança</c:v>
                </c:pt>
                <c:pt idx="9">
                  <c:v>Qualidade</c:v>
                </c:pt>
                <c:pt idx="10">
                  <c:v>Documentação</c:v>
                </c:pt>
              </c:strCache>
            </c:strRef>
          </c:cat>
          <c:val>
            <c:numRef>
              <c:f>Calc!$Q$2:$Q$12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</c:ser>
        <c:gapWidth val="50"/>
        <c:overlap val="100"/>
        <c:axId val="26097869"/>
        <c:axId val="7488108"/>
      </c:barChart>
      <c:catAx>
        <c:axId val="2609786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7488108"/>
        <c:crosses val="autoZero"/>
        <c:auto val="1"/>
        <c:lblAlgn val="ctr"/>
        <c:lblOffset val="100"/>
        <c:noMultiLvlLbl val="0"/>
      </c:catAx>
      <c:valAx>
        <c:axId val="748810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334155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26097869"/>
        <c:crosses val="autoZero"/>
        <c:crossBetween val="between"/>
      </c:valAx>
      <c:spPr>
        <a:solidFill>
          <a:srgbClr val="1e293b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e2e8f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1e293b"/>
    </a:solidFill>
    <a:ln w="9360">
      <a:solidFill>
        <a:srgbClr val="334155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0</xdr:rowOff>
    </xdr:from>
    <xdr:to>
      <xdr:col>6</xdr:col>
      <xdr:colOff>969480</xdr:colOff>
      <xdr:row>30</xdr:row>
      <xdr:rowOff>165960</xdr:rowOff>
    </xdr:to>
    <xdr:graphicFrame>
      <xdr:nvGraphicFramePr>
        <xdr:cNvPr id="0" name="Chart 1"/>
        <xdr:cNvGraphicFramePr/>
      </xdr:nvGraphicFramePr>
      <xdr:xfrm>
        <a:off x="211320" y="3124080"/>
        <a:ext cx="5903640" cy="302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15</xdr:row>
      <xdr:rowOff>0</xdr:rowOff>
    </xdr:from>
    <xdr:to>
      <xdr:col>12</xdr:col>
      <xdr:colOff>969840</xdr:colOff>
      <xdr:row>30</xdr:row>
      <xdr:rowOff>165960</xdr:rowOff>
    </xdr:to>
    <xdr:graphicFrame>
      <xdr:nvGraphicFramePr>
        <xdr:cNvPr id="1" name="Chart 2"/>
        <xdr:cNvGraphicFramePr/>
      </xdr:nvGraphicFramePr>
      <xdr:xfrm>
        <a:off x="6132240" y="3124080"/>
        <a:ext cx="5903640" cy="302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190440</xdr:rowOff>
    </xdr:from>
    <xdr:to>
      <xdr:col>4</xdr:col>
      <xdr:colOff>527400</xdr:colOff>
      <xdr:row>32</xdr:row>
      <xdr:rowOff>18000</xdr:rowOff>
    </xdr:to>
    <xdr:graphicFrame>
      <xdr:nvGraphicFramePr>
        <xdr:cNvPr id="2" name="Chart 1"/>
        <xdr:cNvGraphicFramePr/>
      </xdr:nvGraphicFramePr>
      <xdr:xfrm>
        <a:off x="211320" y="4152960"/>
        <a:ext cx="665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15</xdr:row>
      <xdr:rowOff>190440</xdr:rowOff>
    </xdr:from>
    <xdr:to>
      <xdr:col>12</xdr:col>
      <xdr:colOff>338760</xdr:colOff>
      <xdr:row>32</xdr:row>
      <xdr:rowOff>18000</xdr:rowOff>
    </xdr:to>
    <xdr:graphicFrame>
      <xdr:nvGraphicFramePr>
        <xdr:cNvPr id="3" name="Chart 2"/>
        <xdr:cNvGraphicFramePr/>
      </xdr:nvGraphicFramePr>
      <xdr:xfrm>
        <a:off x="7119000" y="4152960"/>
        <a:ext cx="665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33</xdr:row>
      <xdr:rowOff>160560</xdr:rowOff>
    </xdr:from>
    <xdr:to>
      <xdr:col>4</xdr:col>
      <xdr:colOff>527400</xdr:colOff>
      <xdr:row>50</xdr:row>
      <xdr:rowOff>18000</xdr:rowOff>
    </xdr:to>
    <xdr:graphicFrame>
      <xdr:nvGraphicFramePr>
        <xdr:cNvPr id="4" name="Chart 3"/>
        <xdr:cNvGraphicFramePr/>
      </xdr:nvGraphicFramePr>
      <xdr:xfrm>
        <a:off x="211320" y="7581960"/>
        <a:ext cx="665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33</xdr:row>
      <xdr:rowOff>160560</xdr:rowOff>
    </xdr:from>
    <xdr:to>
      <xdr:col>12</xdr:col>
      <xdr:colOff>338760</xdr:colOff>
      <xdr:row>50</xdr:row>
      <xdr:rowOff>18000</xdr:rowOff>
    </xdr:to>
    <xdr:graphicFrame>
      <xdr:nvGraphicFramePr>
        <xdr:cNvPr id="5" name="Chart 4"/>
        <xdr:cNvGraphicFramePr/>
      </xdr:nvGraphicFramePr>
      <xdr:xfrm>
        <a:off x="7119000" y="7581960"/>
        <a:ext cx="665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51</xdr:row>
      <xdr:rowOff>160560</xdr:rowOff>
    </xdr:from>
    <xdr:to>
      <xdr:col>4</xdr:col>
      <xdr:colOff>527400</xdr:colOff>
      <xdr:row>69</xdr:row>
      <xdr:rowOff>151200</xdr:rowOff>
    </xdr:to>
    <xdr:graphicFrame>
      <xdr:nvGraphicFramePr>
        <xdr:cNvPr id="6" name="Chart 5"/>
        <xdr:cNvGraphicFramePr/>
      </xdr:nvGraphicFramePr>
      <xdr:xfrm>
        <a:off x="211320" y="11010960"/>
        <a:ext cx="665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ronograma_csv" displayName="cronograma_csv" ref="A1:J40" headerRowCount="1" totalsRowCount="0" totalsRowShown="0">
  <autoFilter ref="A1:J40"/>
  <tableColumns count="10">
    <tableColumn id="1" name="Issue ID"/>
    <tableColumn id="2" name="Issue Type"/>
    <tableColumn id="3" name="Summary"/>
    <tableColumn id="4" name="Description"/>
    <tableColumn id="5" name="Epic Link"/>
    <tableColumn id="6" name="Parent ID"/>
    <tableColumn id="7" name="Sprint"/>
    <tableColumn id="8" name="Component"/>
    <tableColumn id="9" name="Prazo Medio"/>
    <tableColumn id="10" name="D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CC15"/>
    <pageSetUpPr fitToPage="true"/>
  </sheetPr>
  <dimension ref="A1:N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3" min="2" style="0" width="14"/>
    <col collapsed="false" customWidth="true" hidden="false" outlineLevel="0" max="14" min="14" style="0" width="3"/>
  </cols>
  <sheetData>
    <row r="1" customFormat="false" ht="36" hidden="false" customHeight="tru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5" hidden="false" customHeight="true" outlineLevel="0" collapsed="false">
      <c r="A4" s="1"/>
      <c r="B4" s="4" t="s">
        <v>2</v>
      </c>
      <c r="C4" s="4"/>
      <c r="D4" s="4"/>
      <c r="E4" s="4" t="s">
        <v>3</v>
      </c>
      <c r="F4" s="4"/>
      <c r="G4" s="4"/>
      <c r="H4" s="4" t="s">
        <v>4</v>
      </c>
      <c r="I4" s="4"/>
      <c r="J4" s="4"/>
      <c r="K4" s="4" t="s">
        <v>5</v>
      </c>
      <c r="L4" s="4"/>
      <c r="M4" s="4"/>
      <c r="N4" s="1"/>
    </row>
    <row r="5" customFormat="false" ht="15" hidden="false" customHeight="false" outlineLevel="0" collapsed="false">
      <c r="A5" s="1"/>
      <c r="B5" s="5" t="n">
        <f aca="false">COUNTA('cronograma-csv'!$A$2:$A$40)</f>
        <v>39</v>
      </c>
      <c r="C5" s="5"/>
      <c r="D5" s="5"/>
      <c r="E5" s="6" t="n">
        <f aca="false">Scrum!K12</f>
        <v>0.849206349206349</v>
      </c>
      <c r="F5" s="6"/>
      <c r="G5" s="6"/>
      <c r="H5" s="7" t="str">
        <f aca="false">TEXT(Scrum!I12,"0.0")&amp;" / "&amp;TEXT(Scrum!H12,"0.0")</f>
        <v>53.5 / 63.0</v>
      </c>
      <c r="I5" s="7"/>
      <c r="J5" s="7"/>
      <c r="K5" s="5" t="n">
        <f aca="false">COUNTIFS(Cronograma!$C$7:$C$45,"&lt;&gt;Epic",Cronograma!$O$7:$O$45,"Bloqueado")</f>
        <v>2</v>
      </c>
      <c r="L5" s="5"/>
      <c r="M5" s="5"/>
      <c r="N5" s="1"/>
    </row>
    <row r="6" customFormat="false" ht="15" hidden="false" customHeight="false" outlineLevel="0" collapsed="false">
      <c r="A6" s="1"/>
      <c r="B6" s="5"/>
      <c r="C6" s="5"/>
      <c r="D6" s="5"/>
      <c r="E6" s="6"/>
      <c r="F6" s="6"/>
      <c r="G6" s="6"/>
      <c r="H6" s="7"/>
      <c r="I6" s="7"/>
      <c r="J6" s="7"/>
      <c r="K6" s="5"/>
      <c r="L6" s="5"/>
      <c r="M6" s="5"/>
      <c r="N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customFormat="false" ht="15" hidden="false" customHeight="true" outlineLevel="0" collapsed="false">
      <c r="A8" s="1"/>
      <c r="B8" s="4" t="s">
        <v>6</v>
      </c>
      <c r="C8" s="4"/>
      <c r="D8" s="4"/>
      <c r="E8" s="4" t="s">
        <v>7</v>
      </c>
      <c r="F8" s="4"/>
      <c r="G8" s="4"/>
      <c r="H8" s="4" t="s">
        <v>8</v>
      </c>
      <c r="I8" s="4"/>
      <c r="J8" s="4"/>
      <c r="K8" s="4" t="s">
        <v>9</v>
      </c>
      <c r="L8" s="4"/>
      <c r="M8" s="4"/>
      <c r="N8" s="1"/>
    </row>
    <row r="9" customFormat="false" ht="15" hidden="false" customHeight="false" outlineLevel="0" collapsed="false">
      <c r="A9" s="1"/>
      <c r="B9" s="5" t="n">
        <f aca="false">COUNTA(Scrum!$B$6:$B$11)</f>
        <v>6</v>
      </c>
      <c r="C9" s="5"/>
      <c r="D9" s="5"/>
      <c r="E9" s="7" t="str">
        <f aca="false">TEXT(Scrum!D12,"dd/mm")&amp;" – "&amp;TEXT(Scrum!E12,"dd/mm")</f>
        <v>01/10 – 28/10</v>
      </c>
      <c r="F9" s="7"/>
      <c r="G9" s="7"/>
      <c r="H9" s="8" t="n">
        <f aca="false">IFERROR(AVERAGEIF(Scrum!$I$6:$I$11,"&gt;0"),0)</f>
        <v>8.91666666666667</v>
      </c>
      <c r="I9" s="8"/>
      <c r="J9" s="8"/>
      <c r="K9" s="9" t="n">
        <f aca="false">DATA_REF</f>
        <v>46321</v>
      </c>
      <c r="L9" s="9"/>
      <c r="M9" s="9"/>
      <c r="N9" s="1"/>
    </row>
    <row r="10" customFormat="false" ht="15" hidden="false" customHeight="false" outlineLevel="0" collapsed="false">
      <c r="A10" s="1"/>
      <c r="B10" s="5"/>
      <c r="C10" s="5"/>
      <c r="D10" s="5"/>
      <c r="E10" s="7"/>
      <c r="F10" s="7"/>
      <c r="G10" s="7"/>
      <c r="H10" s="8"/>
      <c r="I10" s="8"/>
      <c r="J10" s="8"/>
      <c r="K10" s="9"/>
      <c r="L10" s="9"/>
      <c r="M10" s="9"/>
      <c r="N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customFormat="false" ht="15" hidden="false" customHeight="false" outlineLevel="0" collapsed="false">
      <c r="A12" s="1"/>
      <c r="B12" s="10" t="str">
        <f aca="false">"⚠ Módulo N8N com problemas em produção · entrega em aberto. Itens bloqueados: "&amp;COUNTIFS(Cronograma!$C$7:$C$45,"&lt;&gt;Epic",Cronograma!$O$7:$O$45,"Bloqueado")&amp;" · esforço em aberto: "&amp;TEXT(SUMIFS(Cronograma!$P$7:$P$45,Cronograma!$O$7:$O$45,"Bloqueado"),"0.0")&amp;" dias (sprint de suprimentos e segurança). Investigação registrada na aba Pesquisas."</f>
        <v>⚠ Módulo N8N com problemas em produção · entrega em aberto. Itens bloqueados: 2 · esforço em aberto: 3.5 dias (sprint de suprimentos e segurança). Investigação registrada na aba Pesquisas.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"/>
    </row>
    <row r="13" customFormat="false" ht="15" hidden="false" customHeight="false" outlineLevel="0" collapsed="false">
      <c r="A13" s="1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"/>
    </row>
    <row r="14" customFormat="false" ht="15" hidden="false" customHeight="false" outlineLevel="0" collapsed="false">
      <c r="A14" s="1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1" t="s">
        <v>10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</sheetData>
  <mergeCells count="17">
    <mergeCell ref="B4:D4"/>
    <mergeCell ref="E4:G4"/>
    <mergeCell ref="H4:J4"/>
    <mergeCell ref="K4:M4"/>
    <mergeCell ref="B5:D6"/>
    <mergeCell ref="E5:G6"/>
    <mergeCell ref="H5:J6"/>
    <mergeCell ref="K5:M6"/>
    <mergeCell ref="B8:D8"/>
    <mergeCell ref="E8:G8"/>
    <mergeCell ref="H8:J8"/>
    <mergeCell ref="K8:M8"/>
    <mergeCell ref="B9:D10"/>
    <mergeCell ref="E9:G10"/>
    <mergeCell ref="H9:J10"/>
    <mergeCell ref="K9:M10"/>
    <mergeCell ref="B12:M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CC15"/>
    <pageSetUpPr fitToPage="true"/>
  </sheetPr>
  <dimension ref="A1:AV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48"/>
    <col collapsed="false" customWidth="true" hidden="false" outlineLevel="0" max="5" min="5" style="0" width="9"/>
    <col collapsed="false" customWidth="true" hidden="false" outlineLevel="0" max="6" min="6" style="0" width="38"/>
    <col collapsed="false" customWidth="true" hidden="false" outlineLevel="0" max="7" min="7" style="0" width="32"/>
    <col collapsed="false" customWidth="true" hidden="false" outlineLevel="0" max="8" min="8" style="0" width="21"/>
    <col collapsed="false" customWidth="true" hidden="false" outlineLevel="0" max="9" min="9" style="0" width="17"/>
    <col collapsed="false" customWidth="true" hidden="false" outlineLevel="0" max="11" min="10" style="0" width="9"/>
    <col collapsed="false" customWidth="true" hidden="false" outlineLevel="0" max="12" min="12" style="0" width="10"/>
    <col collapsed="false" customWidth="true" hidden="false" outlineLevel="0" max="14" min="13" style="0" width="12"/>
    <col collapsed="false" customWidth="true" hidden="false" outlineLevel="0" max="15" min="15" style="0" width="17"/>
    <col collapsed="false" customWidth="true" hidden="false" outlineLevel="0" max="16" min="16" style="0" width="10"/>
    <col collapsed="false" customWidth="true" hidden="false" outlineLevel="0" max="47" min="17" style="0" width="3.61"/>
  </cols>
  <sheetData>
    <row r="1" customFormat="false" ht="36" hidden="false" customHeight="true" outlineLevel="0" collapsed="false">
      <c r="A1" s="1"/>
      <c r="B1" s="2" t="s">
        <v>11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customFormat="false" ht="15" hidden="false" customHeight="false" outlineLevel="0" collapsed="false">
      <c r="A2" s="1"/>
      <c r="B2" s="3" t="s">
        <v>12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customFormat="false" ht="15" hidden="false" customHeight="true" outlineLevel="0" collapsed="false">
      <c r="A4" s="1"/>
      <c r="B4" s="12" t="s">
        <v>13</v>
      </c>
      <c r="C4" s="1"/>
      <c r="D4" s="13" t="s">
        <v>14</v>
      </c>
      <c r="E4" s="1"/>
      <c r="F4" s="14" t="s">
        <v>15</v>
      </c>
      <c r="G4" s="15" t="s">
        <v>16</v>
      </c>
      <c r="H4" s="16" t="s">
        <v>17</v>
      </c>
      <c r="I4" s="17" t="s">
        <v>18</v>
      </c>
      <c r="J4" s="17"/>
      <c r="K4" s="17"/>
      <c r="L4" s="1"/>
      <c r="M4" s="1"/>
      <c r="N4" s="1"/>
      <c r="O4" s="1"/>
      <c r="P4" s="1"/>
      <c r="Q4" s="18" t="str">
        <f aca="false">TEXT(Q6,"mm/yyyy")</f>
        <v>10/2026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9" t="str">
        <f aca="false">CHOOSE(WEEKDAY(Q6),"D","S","T","Q","Q","S","S")</f>
        <v>Q</v>
      </c>
      <c r="R5" s="19" t="str">
        <f aca="false">CHOOSE(WEEKDAY(R6),"D","S","T","Q","Q","S","S")</f>
        <v>S</v>
      </c>
      <c r="S5" s="19" t="str">
        <f aca="false">CHOOSE(WEEKDAY(S6),"D","S","T","Q","Q","S","S")</f>
        <v>S</v>
      </c>
      <c r="T5" s="19" t="str">
        <f aca="false">CHOOSE(WEEKDAY(T6),"D","S","T","Q","Q","S","S")</f>
        <v>D</v>
      </c>
      <c r="U5" s="19" t="str">
        <f aca="false">CHOOSE(WEEKDAY(U6),"D","S","T","Q","Q","S","S")</f>
        <v>S</v>
      </c>
      <c r="V5" s="19" t="str">
        <f aca="false">CHOOSE(WEEKDAY(V6),"D","S","T","Q","Q","S","S")</f>
        <v>T</v>
      </c>
      <c r="W5" s="19" t="str">
        <f aca="false">CHOOSE(WEEKDAY(W6),"D","S","T","Q","Q","S","S")</f>
        <v>Q</v>
      </c>
      <c r="X5" s="19" t="str">
        <f aca="false">CHOOSE(WEEKDAY(X6),"D","S","T","Q","Q","S","S")</f>
        <v>Q</v>
      </c>
      <c r="Y5" s="19" t="str">
        <f aca="false">CHOOSE(WEEKDAY(Y6),"D","S","T","Q","Q","S","S")</f>
        <v>S</v>
      </c>
      <c r="Z5" s="19" t="str">
        <f aca="false">CHOOSE(WEEKDAY(Z6),"D","S","T","Q","Q","S","S")</f>
        <v>S</v>
      </c>
      <c r="AA5" s="19" t="str">
        <f aca="false">CHOOSE(WEEKDAY(AA6),"D","S","T","Q","Q","S","S")</f>
        <v>D</v>
      </c>
      <c r="AB5" s="19" t="str">
        <f aca="false">CHOOSE(WEEKDAY(AB6),"D","S","T","Q","Q","S","S")</f>
        <v>S</v>
      </c>
      <c r="AC5" s="19" t="str">
        <f aca="false">CHOOSE(WEEKDAY(AC6),"D","S","T","Q","Q","S","S")</f>
        <v>T</v>
      </c>
      <c r="AD5" s="19" t="str">
        <f aca="false">CHOOSE(WEEKDAY(AD6),"D","S","T","Q","Q","S","S")</f>
        <v>Q</v>
      </c>
      <c r="AE5" s="19" t="str">
        <f aca="false">CHOOSE(WEEKDAY(AE6),"D","S","T","Q","Q","S","S")</f>
        <v>Q</v>
      </c>
      <c r="AF5" s="19" t="str">
        <f aca="false">CHOOSE(WEEKDAY(AF6),"D","S","T","Q","Q","S","S")</f>
        <v>S</v>
      </c>
      <c r="AG5" s="19" t="str">
        <f aca="false">CHOOSE(WEEKDAY(AG6),"D","S","T","Q","Q","S","S")</f>
        <v>S</v>
      </c>
      <c r="AH5" s="19" t="str">
        <f aca="false">CHOOSE(WEEKDAY(AH6),"D","S","T","Q","Q","S","S")</f>
        <v>D</v>
      </c>
      <c r="AI5" s="19" t="str">
        <f aca="false">CHOOSE(WEEKDAY(AI6),"D","S","T","Q","Q","S","S")</f>
        <v>S</v>
      </c>
      <c r="AJ5" s="19" t="str">
        <f aca="false">CHOOSE(WEEKDAY(AJ6),"D","S","T","Q","Q","S","S")</f>
        <v>T</v>
      </c>
      <c r="AK5" s="19" t="str">
        <f aca="false">CHOOSE(WEEKDAY(AK6),"D","S","T","Q","Q","S","S")</f>
        <v>Q</v>
      </c>
      <c r="AL5" s="19" t="str">
        <f aca="false">CHOOSE(WEEKDAY(AL6),"D","S","T","Q","Q","S","S")</f>
        <v>Q</v>
      </c>
      <c r="AM5" s="19" t="str">
        <f aca="false">CHOOSE(WEEKDAY(AM6),"D","S","T","Q","Q","S","S")</f>
        <v>S</v>
      </c>
      <c r="AN5" s="19" t="str">
        <f aca="false">CHOOSE(WEEKDAY(AN6),"D","S","T","Q","Q","S","S")</f>
        <v>S</v>
      </c>
      <c r="AO5" s="19" t="str">
        <f aca="false">CHOOSE(WEEKDAY(AO6),"D","S","T","Q","Q","S","S")</f>
        <v>D</v>
      </c>
      <c r="AP5" s="19" t="str">
        <f aca="false">CHOOSE(WEEKDAY(AP6),"D","S","T","Q","Q","S","S")</f>
        <v>S</v>
      </c>
      <c r="AQ5" s="19" t="str">
        <f aca="false">CHOOSE(WEEKDAY(AQ6),"D","S","T","Q","Q","S","S")</f>
        <v>T</v>
      </c>
      <c r="AR5" s="19" t="str">
        <f aca="false">CHOOSE(WEEKDAY(AR6),"D","S","T","Q","Q","S","S")</f>
        <v>Q</v>
      </c>
      <c r="AS5" s="19" t="str">
        <f aca="false">CHOOSE(WEEKDAY(AS6),"D","S","T","Q","Q","S","S")</f>
        <v>Q</v>
      </c>
      <c r="AT5" s="19" t="str">
        <f aca="false">CHOOSE(WEEKDAY(AT6),"D","S","T","Q","Q","S","S")</f>
        <v>S</v>
      </c>
      <c r="AU5" s="19" t="str">
        <f aca="false">CHOOSE(WEEKDAY(AU6),"D","S","T","Q","Q","S","S")</f>
        <v>S</v>
      </c>
      <c r="AV5" s="1"/>
    </row>
    <row r="6" customFormat="false" ht="33.75" hidden="false" customHeight="true" outlineLevel="0" collapsed="false">
      <c r="A6" s="1"/>
      <c r="B6" s="20" t="s">
        <v>19</v>
      </c>
      <c r="C6" s="20" t="s">
        <v>20</v>
      </c>
      <c r="D6" s="20" t="s">
        <v>21</v>
      </c>
      <c r="E6" s="20" t="s">
        <v>22</v>
      </c>
      <c r="F6" s="20" t="s">
        <v>23</v>
      </c>
      <c r="G6" s="20" t="s">
        <v>24</v>
      </c>
      <c r="H6" s="20" t="s">
        <v>25</v>
      </c>
      <c r="I6" s="20" t="s">
        <v>26</v>
      </c>
      <c r="J6" s="20" t="s">
        <v>27</v>
      </c>
      <c r="K6" s="20" t="s">
        <v>28</v>
      </c>
      <c r="L6" s="20" t="s">
        <v>29</v>
      </c>
      <c r="M6" s="20" t="s">
        <v>30</v>
      </c>
      <c r="N6" s="20" t="s">
        <v>31</v>
      </c>
      <c r="O6" s="20" t="s">
        <v>32</v>
      </c>
      <c r="P6" s="20" t="s">
        <v>33</v>
      </c>
      <c r="Q6" s="21" t="n">
        <f aca="false">MIN($M$7:$M$45)</f>
        <v>46296</v>
      </c>
      <c r="R6" s="21" t="n">
        <f aca="false">Q6+1</f>
        <v>46297</v>
      </c>
      <c r="S6" s="21" t="n">
        <f aca="false">R6+1</f>
        <v>46298</v>
      </c>
      <c r="T6" s="21" t="n">
        <f aca="false">S6+1</f>
        <v>46299</v>
      </c>
      <c r="U6" s="21" t="n">
        <f aca="false">T6+1</f>
        <v>46300</v>
      </c>
      <c r="V6" s="21" t="n">
        <f aca="false">U6+1</f>
        <v>46301</v>
      </c>
      <c r="W6" s="21" t="n">
        <f aca="false">V6+1</f>
        <v>46302</v>
      </c>
      <c r="X6" s="21" t="n">
        <f aca="false">W6+1</f>
        <v>46303</v>
      </c>
      <c r="Y6" s="21" t="n">
        <f aca="false">X6+1</f>
        <v>46304</v>
      </c>
      <c r="Z6" s="21" t="n">
        <f aca="false">Y6+1</f>
        <v>46305</v>
      </c>
      <c r="AA6" s="21" t="n">
        <f aca="false">Z6+1</f>
        <v>46306</v>
      </c>
      <c r="AB6" s="21" t="n">
        <f aca="false">AA6+1</f>
        <v>46307</v>
      </c>
      <c r="AC6" s="21" t="n">
        <f aca="false">AB6+1</f>
        <v>46308</v>
      </c>
      <c r="AD6" s="21" t="n">
        <f aca="false">AC6+1</f>
        <v>46309</v>
      </c>
      <c r="AE6" s="21" t="n">
        <f aca="false">AD6+1</f>
        <v>46310</v>
      </c>
      <c r="AF6" s="21" t="n">
        <f aca="false">AE6+1</f>
        <v>46311</v>
      </c>
      <c r="AG6" s="21" t="n">
        <f aca="false">AF6+1</f>
        <v>46312</v>
      </c>
      <c r="AH6" s="21" t="n">
        <f aca="false">AG6+1</f>
        <v>46313</v>
      </c>
      <c r="AI6" s="21" t="n">
        <f aca="false">AH6+1</f>
        <v>46314</v>
      </c>
      <c r="AJ6" s="21" t="n">
        <f aca="false">AI6+1</f>
        <v>46315</v>
      </c>
      <c r="AK6" s="21" t="n">
        <f aca="false">AJ6+1</f>
        <v>46316</v>
      </c>
      <c r="AL6" s="21" t="n">
        <f aca="false">AK6+1</f>
        <v>46317</v>
      </c>
      <c r="AM6" s="21" t="n">
        <f aca="false">AL6+1</f>
        <v>46318</v>
      </c>
      <c r="AN6" s="21" t="n">
        <f aca="false">AM6+1</f>
        <v>46319</v>
      </c>
      <c r="AO6" s="21" t="n">
        <f aca="false">AN6+1</f>
        <v>46320</v>
      </c>
      <c r="AP6" s="21" t="n">
        <f aca="false">AO6+1</f>
        <v>46321</v>
      </c>
      <c r="AQ6" s="21" t="n">
        <f aca="false">AP6+1</f>
        <v>46322</v>
      </c>
      <c r="AR6" s="21" t="n">
        <f aca="false">AQ6+1</f>
        <v>46323</v>
      </c>
      <c r="AS6" s="21" t="n">
        <f aca="false">AR6+1</f>
        <v>46324</v>
      </c>
      <c r="AT6" s="21" t="n">
        <f aca="false">AS6+1</f>
        <v>46325</v>
      </c>
      <c r="AU6" s="21" t="n">
        <f aca="false">AT6+1</f>
        <v>46326</v>
      </c>
      <c r="AV6" s="1"/>
    </row>
    <row r="7" customFormat="false" ht="19.5" hidden="false" customHeight="true" outlineLevel="0" collapsed="false">
      <c r="A7" s="1"/>
      <c r="B7" s="22" t="n">
        <f aca="false">'cronograma-csv'!A2</f>
        <v>1000</v>
      </c>
      <c r="C7" s="22" t="str">
        <f aca="false">'cronograma-csv'!B2</f>
        <v>Epic</v>
      </c>
      <c r="D7" s="23" t="str">
        <f aca="false">'cronograma-csv'!C2</f>
        <v>Produto e arquitetura</v>
      </c>
      <c r="E7" s="22" t="n">
        <f aca="false">IF(C7="Epic",B7,IF(C7="Story",'cronograma-csv'!E2,INDEX('cronograma-csv'!$E$2:$E$40,MATCH('cronograma-csv'!F2,'cronograma-csv'!$A$2:$A$40,0))))</f>
        <v>1000</v>
      </c>
      <c r="F7" s="23" t="str">
        <f aca="false">INDEX($D$7:$D$45,MATCH(E7,$B$7:$B$45,0))</f>
        <v>Produto e arquitetura</v>
      </c>
      <c r="G7" s="23" t="str">
        <f aca="false">IF('cronograma-csv'!G2&lt;&gt;"",'cronograma-csv'!G2,IFERROR(INDEX('cronograma-csv'!$G$2:$G$40,MATCH(B7,'cronograma-csv'!$E$2:$E$40,0)),"—"))</f>
        <v>S01 - Descoberta e fundação</v>
      </c>
      <c r="H7" s="23" t="str">
        <f aca="false">'cronograma-csv'!H2</f>
        <v>Produto</v>
      </c>
      <c r="I7" s="23" t="str">
        <f aca="false">'cronograma-csv'!I2</f>
        <v>2 a 3 semanas</v>
      </c>
      <c r="J7" s="22" t="n">
        <f aca="false">VALUE(LEFT(I7,FIND(" ",I7)-1))*IF(ISNUMBER(SEARCH("semana",I7)),DIAS_SEMANA,1)</f>
        <v>14</v>
      </c>
      <c r="K7" s="22" t="n">
        <f aca="false">IF(ISNUMBER(SEARCH(" a ",I7)),VALUE(MID(I7,FIND(" a ",I7)+3,FIND(" ",I7,FIND(" a ",I7)+3)-FIND(" a ",I7)-3)),VALUE(LEFT(I7,FIND(" ",I7)-1)))*IF(ISNUMBER(SEARCH("semana",I7)),DIAS_SEMANA,1)</f>
        <v>21</v>
      </c>
      <c r="L7" s="24" t="n">
        <f aca="false">(J7+K7)/2</f>
        <v>17.5</v>
      </c>
      <c r="M7" s="25" t="n">
        <f aca="false">_xlfn.MINIFS(M8:M$45,E8:E$45,B7)</f>
        <v>46296</v>
      </c>
      <c r="N7" s="25" t="n">
        <f aca="false">_xlfn.MAXIFS(N8:N$45,E8:E$45,B7)</f>
        <v>46299</v>
      </c>
      <c r="O7" s="22" t="str">
        <f aca="false">IF(COUNTIFS(E8:E$45,B7,O8:O$45,"Bloqueado")&gt;0,"Bloqueado",IF(COUNTIFS(E8:E$45,B7,O8:O$45,"Concluído")=COUNTIF(E8:E$45,B7),"Concluído",IF(COUNTIFS(E8:E$45,B7,O8:O$45,"A fazer")=COUNTIF(E8:E$45,B7),"A fazer","Em andamento")))</f>
        <v>Concluído</v>
      </c>
      <c r="P7" s="24" t="n">
        <f aca="false">IF(C7="Story",L7,0)</f>
        <v>0</v>
      </c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1"/>
    </row>
    <row r="8" customFormat="false" ht="19.5" hidden="false" customHeight="true" outlineLevel="0" collapsed="false">
      <c r="A8" s="1"/>
      <c r="B8" s="27" t="n">
        <f aca="false">'cronograma-csv'!A3</f>
        <v>1001</v>
      </c>
      <c r="C8" s="27" t="str">
        <f aca="false">'cronograma-csv'!B3</f>
        <v>Story</v>
      </c>
      <c r="D8" s="28" t="str">
        <f aca="false">'cronograma-csv'!C3</f>
        <v>Levantar requisitos e público-alvo</v>
      </c>
      <c r="E8" s="27" t="n">
        <f aca="false">IF(C8="Epic",B8,IF(C8="Story",'cronograma-csv'!E3,INDEX('cronograma-csv'!$E$2:$E$40,MATCH('cronograma-csv'!F3,'cronograma-csv'!$A$2:$A$40,0))))</f>
        <v>1000</v>
      </c>
      <c r="F8" s="28" t="str">
        <f aca="false">INDEX($D$7:$D$45,MATCH(E8,$B$7:$B$45,0))</f>
        <v>Produto e arquitetura</v>
      </c>
      <c r="G8" s="28" t="str">
        <f aca="false">IF('cronograma-csv'!G3&lt;&gt;"",'cronograma-csv'!G3,IFERROR(INDEX('cronograma-csv'!$G$2:$G$40,MATCH(B8,'cronograma-csv'!$E$2:$E$40,0)),"—"))</f>
        <v>S01 - Descoberta e fundação</v>
      </c>
      <c r="H8" s="28" t="str">
        <f aca="false">'cronograma-csv'!H3</f>
        <v>Produto</v>
      </c>
      <c r="I8" s="28" t="str">
        <f aca="false">'cronograma-csv'!I3</f>
        <v>3 a 5 dias</v>
      </c>
      <c r="J8" s="27" t="n">
        <f aca="false">VALUE(LEFT(I8,FIND(" ",I8)-1))*IF(ISNUMBER(SEARCH("semana",I8)),DIAS_SEMANA,1)</f>
        <v>3</v>
      </c>
      <c r="K8" s="27" t="n">
        <f aca="false">IF(ISNUMBER(SEARCH(" a ",I8)),VALUE(MID(I8,FIND(" a ",I8)+3,FIND(" ",I8,FIND(" a ",I8)+3)-FIND(" a ",I8)-3)),VALUE(LEFT(I8,FIND(" ",I8)-1)))*IF(ISNUMBER(SEARCH("semana",I8)),DIAS_SEMANA,1)</f>
        <v>5</v>
      </c>
      <c r="L8" s="29" t="n">
        <f aca="false">(J8+K8)/2</f>
        <v>4</v>
      </c>
      <c r="M8" s="30" t="n">
        <f aca="false">'cronograma-csv'!J3</f>
        <v>46296</v>
      </c>
      <c r="N8" s="30" t="n">
        <f aca="false">M8+MAX(1,ROUNDUP(L8,0))-1</f>
        <v>46299</v>
      </c>
      <c r="O8" s="20" t="s">
        <v>14</v>
      </c>
      <c r="P8" s="29" t="n">
        <f aca="false">IF(C8="Story",L8,0)</f>
        <v>4</v>
      </c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1"/>
    </row>
    <row r="9" customFormat="false" ht="19.5" hidden="false" customHeight="true" outlineLevel="0" collapsed="false">
      <c r="A9" s="1"/>
      <c r="B9" s="27" t="n">
        <f aca="false">'cronograma-csv'!A4</f>
        <v>1002</v>
      </c>
      <c r="C9" s="27" t="str">
        <f aca="false">'cronograma-csv'!B4</f>
        <v>Sub-task</v>
      </c>
      <c r="D9" s="28" t="str">
        <f aca="false">'cronograma-csv'!C4</f>
        <v>Mapear functionalities e fluxos</v>
      </c>
      <c r="E9" s="27" t="n">
        <f aca="false">IF(C9="Epic",B9,IF(C9="Story",'cronograma-csv'!E4,INDEX('cronograma-csv'!$E$2:$E$40,MATCH('cronograma-csv'!F4,'cronograma-csv'!$A$2:$A$40,0))))</f>
        <v>1000</v>
      </c>
      <c r="F9" s="28" t="str">
        <f aca="false">INDEX($D$7:$D$45,MATCH(E9,$B$7:$B$45,0))</f>
        <v>Produto e arquitetura</v>
      </c>
      <c r="G9" s="28" t="str">
        <f aca="false">IF('cronograma-csv'!G4&lt;&gt;"",'cronograma-csv'!G4,IFERROR(INDEX('cronograma-csv'!$G$2:$G$40,MATCH(B9,'cronograma-csv'!$E$2:$E$40,0)),"—"))</f>
        <v>S01 - Descoberta e fundação</v>
      </c>
      <c r="H9" s="28" t="str">
        <f aca="false">'cronograma-csv'!H4</f>
        <v>Produto</v>
      </c>
      <c r="I9" s="28" t="str">
        <f aca="false">'cronograma-csv'!I4</f>
        <v>1 a 2 dias</v>
      </c>
      <c r="J9" s="27" t="n">
        <f aca="false">VALUE(LEFT(I9,FIND(" ",I9)-1))*IF(ISNUMBER(SEARCH("semana",I9)),DIAS_SEMANA,1)</f>
        <v>1</v>
      </c>
      <c r="K9" s="27" t="n">
        <f aca="false">IF(ISNUMBER(SEARCH(" a ",I9)),VALUE(MID(I9,FIND(" a ",I9)+3,FIND(" ",I9,FIND(" a ",I9)+3)-FIND(" a ",I9)-3)),VALUE(LEFT(I9,FIND(" ",I9)-1)))*IF(ISNUMBER(SEARCH("semana",I9)),DIAS_SEMANA,1)</f>
        <v>2</v>
      </c>
      <c r="L9" s="29" t="n">
        <f aca="false">(J9+K9)/2</f>
        <v>1.5</v>
      </c>
      <c r="M9" s="30" t="n">
        <f aca="false">'cronograma-csv'!J4</f>
        <v>46297</v>
      </c>
      <c r="N9" s="30" t="n">
        <f aca="false">M9+MAX(1,ROUNDUP(L9,0))-1</f>
        <v>46298</v>
      </c>
      <c r="O9" s="20" t="s">
        <v>14</v>
      </c>
      <c r="P9" s="29" t="n">
        <f aca="false">IF(C9="Story",L9,0)</f>
        <v>0</v>
      </c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1"/>
    </row>
    <row r="10" customFormat="false" ht="19.5" hidden="false" customHeight="true" outlineLevel="0" collapsed="false">
      <c r="A10" s="1"/>
      <c r="B10" s="27" t="n">
        <f aca="false">'cronograma-csv'!A5</f>
        <v>1003</v>
      </c>
      <c r="C10" s="27" t="str">
        <f aca="false">'cronograma-csv'!B5</f>
        <v>Story</v>
      </c>
      <c r="D10" s="28" t="str">
        <f aca="false">'cronograma-csv'!C5</f>
        <v>Definir arquitetura e modelo de dados</v>
      </c>
      <c r="E10" s="27" t="n">
        <f aca="false">IF(C10="Epic",B10,IF(C10="Story",'cronograma-csv'!E5,INDEX('cronograma-csv'!$E$2:$E$40,MATCH('cronograma-csv'!F5,'cronograma-csv'!$A$2:$A$40,0))))</f>
        <v>1000</v>
      </c>
      <c r="F10" s="28" t="str">
        <f aca="false">INDEX($D$7:$D$45,MATCH(E10,$B$7:$B$45,0))</f>
        <v>Produto e arquitetura</v>
      </c>
      <c r="G10" s="28" t="str">
        <f aca="false">IF('cronograma-csv'!G5&lt;&gt;"",'cronograma-csv'!G5,IFERROR(INDEX('cronograma-csv'!$G$2:$G$40,MATCH(B10,'cronograma-csv'!$E$2:$E$40,0)),"—"))</f>
        <v>S01 - Descoberta e fundação</v>
      </c>
      <c r="H10" s="28" t="str">
        <f aca="false">'cronograma-csv'!H5</f>
        <v>Arquitetura</v>
      </c>
      <c r="I10" s="28" t="str">
        <f aca="false">'cronograma-csv'!I5</f>
        <v>3 a 5 dias</v>
      </c>
      <c r="J10" s="27" t="n">
        <f aca="false">VALUE(LEFT(I10,FIND(" ",I10)-1))*IF(ISNUMBER(SEARCH("semana",I10)),DIAS_SEMANA,1)</f>
        <v>3</v>
      </c>
      <c r="K10" s="27" t="n">
        <f aca="false">IF(ISNUMBER(SEARCH(" a ",I10)),VALUE(MID(I10,FIND(" a ",I10)+3,FIND(" ",I10,FIND(" a ",I10)+3)-FIND(" a ",I10)-3)),VALUE(LEFT(I10,FIND(" ",I10)-1)))*IF(ISNUMBER(SEARCH("semana",I10)),DIAS_SEMANA,1)</f>
        <v>5</v>
      </c>
      <c r="L10" s="29" t="n">
        <f aca="false">(J10+K10)/2</f>
        <v>4</v>
      </c>
      <c r="M10" s="30" t="n">
        <f aca="false">'cronograma-csv'!J5</f>
        <v>46296</v>
      </c>
      <c r="N10" s="30" t="n">
        <f aca="false">M10+MAX(1,ROUNDUP(L10,0))-1</f>
        <v>46299</v>
      </c>
      <c r="O10" s="20" t="s">
        <v>14</v>
      </c>
      <c r="P10" s="29" t="n">
        <f aca="false">IF(C10="Story",L10,0)</f>
        <v>4</v>
      </c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1"/>
    </row>
    <row r="11" customFormat="false" ht="19.5" hidden="false" customHeight="true" outlineLevel="0" collapsed="false">
      <c r="A11" s="1"/>
      <c r="B11" s="27" t="n">
        <f aca="false">'cronograma-csv'!A6</f>
        <v>1004</v>
      </c>
      <c r="C11" s="27" t="str">
        <f aca="false">'cronograma-csv'!B6</f>
        <v>Sub-task</v>
      </c>
      <c r="D11" s="28" t="str">
        <f aca="false">'cronograma-csv'!C6</f>
        <v>Preparar ambiente e repositório</v>
      </c>
      <c r="E11" s="27" t="n">
        <f aca="false">IF(C11="Epic",B11,IF(C11="Story",'cronograma-csv'!E6,INDEX('cronograma-csv'!$E$2:$E$40,MATCH('cronograma-csv'!F6,'cronograma-csv'!$A$2:$A$40,0))))</f>
        <v>1000</v>
      </c>
      <c r="F11" s="28" t="str">
        <f aca="false">INDEX($D$7:$D$45,MATCH(E11,$B$7:$B$45,0))</f>
        <v>Produto e arquitetura</v>
      </c>
      <c r="G11" s="28" t="str">
        <f aca="false">IF('cronograma-csv'!G6&lt;&gt;"",'cronograma-csv'!G6,IFERROR(INDEX('cronograma-csv'!$G$2:$G$40,MATCH(B11,'cronograma-csv'!$E$2:$E$40,0)),"—"))</f>
        <v>S01 - Descoberta e fundação</v>
      </c>
      <c r="H11" s="28" t="str">
        <f aca="false">'cronograma-csv'!H6</f>
        <v>DevOps</v>
      </c>
      <c r="I11" s="28" t="str">
        <f aca="false">'cronograma-csv'!I6</f>
        <v>1 a 2 dias</v>
      </c>
      <c r="J11" s="27" t="n">
        <f aca="false">VALUE(LEFT(I11,FIND(" ",I11)-1))*IF(ISNUMBER(SEARCH("semana",I11)),DIAS_SEMANA,1)</f>
        <v>1</v>
      </c>
      <c r="K11" s="27" t="n">
        <f aca="false">IF(ISNUMBER(SEARCH(" a ",I11)),VALUE(MID(I11,FIND(" a ",I11)+3,FIND(" ",I11,FIND(" a ",I11)+3)-FIND(" a ",I11)-3)),VALUE(LEFT(I11,FIND(" ",I11)-1)))*IF(ISNUMBER(SEARCH("semana",I11)),DIAS_SEMANA,1)</f>
        <v>2</v>
      </c>
      <c r="L11" s="29" t="n">
        <f aca="false">(J11+K11)/2</f>
        <v>1.5</v>
      </c>
      <c r="M11" s="30" t="n">
        <f aca="false">'cronograma-csv'!J6</f>
        <v>46297</v>
      </c>
      <c r="N11" s="30" t="n">
        <f aca="false">M11+MAX(1,ROUNDUP(L11,0))-1</f>
        <v>46298</v>
      </c>
      <c r="O11" s="20" t="s">
        <v>14</v>
      </c>
      <c r="P11" s="29" t="n">
        <f aca="false">IF(C11="Story",L11,0)</f>
        <v>0</v>
      </c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1"/>
    </row>
    <row r="12" customFormat="false" ht="19.5" hidden="false" customHeight="true" outlineLevel="0" collapsed="false">
      <c r="A12" s="1"/>
      <c r="B12" s="22" t="n">
        <f aca="false">'cronograma-csv'!A7</f>
        <v>1100</v>
      </c>
      <c r="C12" s="22" t="str">
        <f aca="false">'cronograma-csv'!B7</f>
        <v>Epic</v>
      </c>
      <c r="D12" s="23" t="str">
        <f aca="false">'cronograma-csv'!C7</f>
        <v>API e persistência de dados</v>
      </c>
      <c r="E12" s="22" t="n">
        <f aca="false">IF(C12="Epic",B12,IF(C12="Story",'cronograma-csv'!E7,INDEX('cronograma-csv'!$E$2:$E$40,MATCH('cronograma-csv'!F7,'cronograma-csv'!$A$2:$A$40,0))))</f>
        <v>1100</v>
      </c>
      <c r="F12" s="23" t="str">
        <f aca="false">INDEX($D$7:$D$45,MATCH(E12,$B$7:$B$45,0))</f>
        <v>API e persistência de dados</v>
      </c>
      <c r="G12" s="23" t="str">
        <f aca="false">IF('cronograma-csv'!G7&lt;&gt;"",'cronograma-csv'!G7,IFERROR(INDEX('cronograma-csv'!$G$2:$G$40,MATCH(B12,'cronograma-csv'!$E$2:$E$40,0)),"—"))</f>
        <v>S02 - API e dados</v>
      </c>
      <c r="H12" s="23" t="str">
        <f aca="false">'cronograma-csv'!H7</f>
        <v>Backend</v>
      </c>
      <c r="I12" s="23" t="str">
        <f aca="false">'cronograma-csv'!I7</f>
        <v>3 a 4 semanas</v>
      </c>
      <c r="J12" s="22" t="n">
        <f aca="false">VALUE(LEFT(I12,FIND(" ",I12)-1))*IF(ISNUMBER(SEARCH("semana",I12)),DIAS_SEMANA,1)</f>
        <v>21</v>
      </c>
      <c r="K12" s="22" t="n">
        <f aca="false">IF(ISNUMBER(SEARCH(" a ",I12)),VALUE(MID(I12,FIND(" a ",I12)+3,FIND(" ",I12,FIND(" a ",I12)+3)-FIND(" a ",I12)-3)),VALUE(LEFT(I12,FIND(" ",I12)-1)))*IF(ISNUMBER(SEARCH("semana",I12)),DIAS_SEMANA,1)</f>
        <v>28</v>
      </c>
      <c r="L12" s="24" t="n">
        <f aca="false">(J12+K12)/2</f>
        <v>24.5</v>
      </c>
      <c r="M12" s="25" t="n">
        <f aca="false">_xlfn.MINIFS(M13:M$45,E13:E$45,B12)</f>
        <v>46301</v>
      </c>
      <c r="N12" s="25" t="n">
        <f aca="false">_xlfn.MAXIFS(N13:N$45,E13:E$45,B12)</f>
        <v>46305</v>
      </c>
      <c r="O12" s="22" t="str">
        <f aca="false">IF(COUNTIFS(E13:E$45,B12,O13:O$45,"Bloqueado")&gt;0,"Bloqueado",IF(COUNTIFS(E13:E$45,B12,O13:O$45,"Concluído")=COUNTIF(E13:E$45,B12),"Concluído",IF(COUNTIFS(E13:E$45,B12,O13:O$45,"A fazer")=COUNTIF(E13:E$45,B12),"A fazer","Em andamento")))</f>
        <v>Concluído</v>
      </c>
      <c r="P12" s="24" t="n">
        <f aca="false">IF(C12="Story",L12,0)</f>
        <v>0</v>
      </c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1"/>
    </row>
    <row r="13" customFormat="false" ht="19.5" hidden="false" customHeight="true" outlineLevel="0" collapsed="false">
      <c r="A13" s="1"/>
      <c r="B13" s="27" t="n">
        <f aca="false">'cronograma-csv'!A8</f>
        <v>1101</v>
      </c>
      <c r="C13" s="27" t="str">
        <f aca="false">'cronograma-csv'!B8</f>
        <v>Story</v>
      </c>
      <c r="D13" s="28" t="str">
        <f aca="false">'cronograma-csv'!C8</f>
        <v>Implementar esquema e persistência</v>
      </c>
      <c r="E13" s="27" t="n">
        <f aca="false">IF(C13="Epic",B13,IF(C13="Story",'cronograma-csv'!E8,INDEX('cronograma-csv'!$E$2:$E$40,MATCH('cronograma-csv'!F8,'cronograma-csv'!$A$2:$A$40,0))))</f>
        <v>1100</v>
      </c>
      <c r="F13" s="28" t="str">
        <f aca="false">INDEX($D$7:$D$45,MATCH(E13,$B$7:$B$45,0))</f>
        <v>API e persistência de dados</v>
      </c>
      <c r="G13" s="28" t="str">
        <f aca="false">IF('cronograma-csv'!G8&lt;&gt;"",'cronograma-csv'!G8,IFERROR(INDEX('cronograma-csv'!$G$2:$G$40,MATCH(B13,'cronograma-csv'!$E$2:$E$40,0)),"—"))</f>
        <v>S02 - API e dados</v>
      </c>
      <c r="H13" s="28" t="str">
        <f aca="false">'cronograma-csv'!H8</f>
        <v>Backend</v>
      </c>
      <c r="I13" s="28" t="str">
        <f aca="false">'cronograma-csv'!I8</f>
        <v>3 a 4 dias</v>
      </c>
      <c r="J13" s="27" t="n">
        <f aca="false">VALUE(LEFT(I13,FIND(" ",I13)-1))*IF(ISNUMBER(SEARCH("semana",I13)),DIAS_SEMANA,1)</f>
        <v>3</v>
      </c>
      <c r="K13" s="27" t="n">
        <f aca="false">IF(ISNUMBER(SEARCH(" a ",I13)),VALUE(MID(I13,FIND(" a ",I13)+3,FIND(" ",I13,FIND(" a ",I13)+3)-FIND(" a ",I13)-3)),VALUE(LEFT(I13,FIND(" ",I13)-1)))*IF(ISNUMBER(SEARCH("semana",I13)),DIAS_SEMANA,1)</f>
        <v>4</v>
      </c>
      <c r="L13" s="29" t="n">
        <f aca="false">(J13+K13)/2</f>
        <v>3.5</v>
      </c>
      <c r="M13" s="30" t="n">
        <f aca="false">'cronograma-csv'!J8</f>
        <v>46301</v>
      </c>
      <c r="N13" s="30" t="n">
        <f aca="false">M13+MAX(1,ROUNDUP(L13,0))-1</f>
        <v>46304</v>
      </c>
      <c r="O13" s="20" t="s">
        <v>14</v>
      </c>
      <c r="P13" s="29" t="n">
        <f aca="false">IF(C13="Story",L13,0)</f>
        <v>3.5</v>
      </c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1"/>
    </row>
    <row r="14" customFormat="false" ht="19.5" hidden="false" customHeight="true" outlineLevel="0" collapsed="false">
      <c r="A14" s="1"/>
      <c r="B14" s="27" t="n">
        <f aca="false">'cronograma-csv'!A9</f>
        <v>1102</v>
      </c>
      <c r="C14" s="27" t="str">
        <f aca="false">'cronograma-csv'!B9</f>
        <v>Sub-task</v>
      </c>
      <c r="D14" s="28" t="str">
        <f aca="false">'cronograma-csv'!C9</f>
        <v>Configurar PostgreSQL e scripts</v>
      </c>
      <c r="E14" s="27" t="n">
        <f aca="false">IF(C14="Epic",B14,IF(C14="Story",'cronograma-csv'!E9,INDEX('cronograma-csv'!$E$2:$E$40,MATCH('cronograma-csv'!F9,'cronograma-csv'!$A$2:$A$40,0))))</f>
        <v>1100</v>
      </c>
      <c r="F14" s="28" t="str">
        <f aca="false">INDEX($D$7:$D$45,MATCH(E14,$B$7:$B$45,0))</f>
        <v>API e persistência de dados</v>
      </c>
      <c r="G14" s="28" t="str">
        <f aca="false">IF('cronograma-csv'!G9&lt;&gt;"",'cronograma-csv'!G9,IFERROR(INDEX('cronograma-csv'!$G$2:$G$40,MATCH(B14,'cronograma-csv'!$E$2:$E$40,0)),"—"))</f>
        <v>S02 - API e dados</v>
      </c>
      <c r="H14" s="28" t="str">
        <f aca="false">'cronograma-csv'!H9</f>
        <v>Dados</v>
      </c>
      <c r="I14" s="28" t="str">
        <f aca="false">'cronograma-csv'!I9</f>
        <v>1 a 2 dias</v>
      </c>
      <c r="J14" s="27" t="n">
        <f aca="false">VALUE(LEFT(I14,FIND(" ",I14)-1))*IF(ISNUMBER(SEARCH("semana",I14)),DIAS_SEMANA,1)</f>
        <v>1</v>
      </c>
      <c r="K14" s="27" t="n">
        <f aca="false">IF(ISNUMBER(SEARCH(" a ",I14)),VALUE(MID(I14,FIND(" a ",I14)+3,FIND(" ",I14,FIND(" a ",I14)+3)-FIND(" a ",I14)-3)),VALUE(LEFT(I14,FIND(" ",I14)-1)))*IF(ISNUMBER(SEARCH("semana",I14)),DIAS_SEMANA,1)</f>
        <v>2</v>
      </c>
      <c r="L14" s="29" t="n">
        <f aca="false">(J14+K14)/2</f>
        <v>1.5</v>
      </c>
      <c r="M14" s="30" t="n">
        <f aca="false">'cronograma-csv'!J9</f>
        <v>46302</v>
      </c>
      <c r="N14" s="30" t="n">
        <f aca="false">M14+MAX(1,ROUNDUP(L14,0))-1</f>
        <v>46303</v>
      </c>
      <c r="O14" s="20" t="s">
        <v>14</v>
      </c>
      <c r="P14" s="29" t="n">
        <f aca="false">IF(C14="Story",L14,0)</f>
        <v>0</v>
      </c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1"/>
    </row>
    <row r="15" customFormat="false" ht="19.5" hidden="false" customHeight="true" outlineLevel="0" collapsed="false">
      <c r="A15" s="1"/>
      <c r="B15" s="27" t="n">
        <f aca="false">'cronograma-csv'!A10</f>
        <v>1103</v>
      </c>
      <c r="C15" s="27" t="str">
        <f aca="false">'cronograma-csv'!B10</f>
        <v>Story</v>
      </c>
      <c r="D15" s="28" t="str">
        <f aca="false">'cronograma-csv'!C10</f>
        <v>Disponibilizar endpoints de cadastros</v>
      </c>
      <c r="E15" s="27" t="n">
        <f aca="false">IF(C15="Epic",B15,IF(C15="Story",'cronograma-csv'!E10,INDEX('cronograma-csv'!$E$2:$E$40,MATCH('cronograma-csv'!F10,'cronograma-csv'!$A$2:$A$40,0))))</f>
        <v>1100</v>
      </c>
      <c r="F15" s="28" t="str">
        <f aca="false">INDEX($D$7:$D$45,MATCH(E15,$B$7:$B$45,0))</f>
        <v>API e persistência de dados</v>
      </c>
      <c r="G15" s="28" t="str">
        <f aca="false">IF('cronograma-csv'!G10&lt;&gt;"",'cronograma-csv'!G10,IFERROR(INDEX('cronograma-csv'!$G$2:$G$40,MATCH(B15,'cronograma-csv'!$E$2:$E$40,0)),"—"))</f>
        <v>S02 - API e dados</v>
      </c>
      <c r="H15" s="28" t="str">
        <f aca="false">'cronograma-csv'!H10</f>
        <v>Backend</v>
      </c>
      <c r="I15" s="28" t="str">
        <f aca="false">'cronograma-csv'!I10</f>
        <v>4 a 5 dias</v>
      </c>
      <c r="J15" s="27" t="n">
        <f aca="false">VALUE(LEFT(I15,FIND(" ",I15)-1))*IF(ISNUMBER(SEARCH("semana",I15)),DIAS_SEMANA,1)</f>
        <v>4</v>
      </c>
      <c r="K15" s="27" t="n">
        <f aca="false">IF(ISNUMBER(SEARCH(" a ",I15)),VALUE(MID(I15,FIND(" a ",I15)+3,FIND(" ",I15,FIND(" a ",I15)+3)-FIND(" a ",I15)-3)),VALUE(LEFT(I15,FIND(" ",I15)-1)))*IF(ISNUMBER(SEARCH("semana",I15)),DIAS_SEMANA,1)</f>
        <v>5</v>
      </c>
      <c r="L15" s="29" t="n">
        <f aca="false">(J15+K15)/2</f>
        <v>4.5</v>
      </c>
      <c r="M15" s="30" t="n">
        <f aca="false">'cronograma-csv'!J10</f>
        <v>46301</v>
      </c>
      <c r="N15" s="30" t="n">
        <f aca="false">M15+MAX(1,ROUNDUP(L15,0))-1</f>
        <v>46305</v>
      </c>
      <c r="O15" s="20" t="s">
        <v>14</v>
      </c>
      <c r="P15" s="29" t="n">
        <f aca="false">IF(C15="Story",L15,0)</f>
        <v>4.5</v>
      </c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1"/>
    </row>
    <row r="16" customFormat="false" ht="19.5" hidden="false" customHeight="true" outlineLevel="0" collapsed="false">
      <c r="A16" s="1"/>
      <c r="B16" s="27" t="n">
        <f aca="false">'cronograma-csv'!A11</f>
        <v>1104</v>
      </c>
      <c r="C16" s="27" t="str">
        <f aca="false">'cronograma-csv'!B11</f>
        <v>Sub-task</v>
      </c>
      <c r="D16" s="28" t="str">
        <f aca="false">'cronograma-csv'!C11</f>
        <v>Validar regras e relacionamentos</v>
      </c>
      <c r="E16" s="27" t="n">
        <f aca="false">IF(C16="Epic",B16,IF(C16="Story",'cronograma-csv'!E11,INDEX('cronograma-csv'!$E$2:$E$40,MATCH('cronograma-csv'!F11,'cronograma-csv'!$A$2:$A$40,0))))</f>
        <v>1100</v>
      </c>
      <c r="F16" s="28" t="str">
        <f aca="false">INDEX($D$7:$D$45,MATCH(E16,$B$7:$B$45,0))</f>
        <v>API e persistência de dados</v>
      </c>
      <c r="G16" s="28" t="str">
        <f aca="false">IF('cronograma-csv'!G11&lt;&gt;"",'cronograma-csv'!G11,IFERROR(INDEX('cronograma-csv'!$G$2:$G$40,MATCH(B16,'cronograma-csv'!$E$2:$E$40,0)),"—"))</f>
        <v>S02 - API e dados</v>
      </c>
      <c r="H16" s="28" t="str">
        <f aca="false">'cronograma-csv'!H11</f>
        <v>Backend</v>
      </c>
      <c r="I16" s="28" t="str">
        <f aca="false">'cronograma-csv'!I11</f>
        <v>1 a 2 dias</v>
      </c>
      <c r="J16" s="27" t="n">
        <f aca="false">VALUE(LEFT(I16,FIND(" ",I16)-1))*IF(ISNUMBER(SEARCH("semana",I16)),DIAS_SEMANA,1)</f>
        <v>1</v>
      </c>
      <c r="K16" s="27" t="n">
        <f aca="false">IF(ISNUMBER(SEARCH(" a ",I16)),VALUE(MID(I16,FIND(" a ",I16)+3,FIND(" ",I16,FIND(" a ",I16)+3)-FIND(" a ",I16)-3)),VALUE(LEFT(I16,FIND(" ",I16)-1)))*IF(ISNUMBER(SEARCH("semana",I16)),DIAS_SEMANA,1)</f>
        <v>2</v>
      </c>
      <c r="L16" s="29" t="n">
        <f aca="false">(J16+K16)/2</f>
        <v>1.5</v>
      </c>
      <c r="M16" s="30" t="n">
        <f aca="false">'cronograma-csv'!J11</f>
        <v>46302</v>
      </c>
      <c r="N16" s="30" t="n">
        <f aca="false">M16+MAX(1,ROUNDUP(L16,0))-1</f>
        <v>46303</v>
      </c>
      <c r="O16" s="20" t="s">
        <v>14</v>
      </c>
      <c r="P16" s="29" t="n">
        <f aca="false">IF(C16="Story",L16,0)</f>
        <v>0</v>
      </c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1"/>
    </row>
    <row r="17" customFormat="false" ht="19.5" hidden="false" customHeight="true" outlineLevel="0" collapsed="false">
      <c r="A17" s="1"/>
      <c r="B17" s="27" t="n">
        <f aca="false">'cronograma-csv'!A12</f>
        <v>1105</v>
      </c>
      <c r="C17" s="27" t="str">
        <f aca="false">'cronograma-csv'!B12</f>
        <v>Story</v>
      </c>
      <c r="D17" s="28" t="str">
        <f aca="false">'cronograma-csv'!C12</f>
        <v>Implementar avaliações e indicadores de escola</v>
      </c>
      <c r="E17" s="27" t="n">
        <f aca="false">IF(C17="Epic",B17,IF(C17="Story",'cronograma-csv'!E12,INDEX('cronograma-csv'!$E$2:$E$40,MATCH('cronograma-csv'!F12,'cronograma-csv'!$A$2:$A$40,0))))</f>
        <v>1100</v>
      </c>
      <c r="F17" s="28" t="str">
        <f aca="false">INDEX($D$7:$D$45,MATCH(E17,$B$7:$B$45,0))</f>
        <v>API e persistência de dados</v>
      </c>
      <c r="G17" s="28" t="str">
        <f aca="false">IF('cronograma-csv'!G12&lt;&gt;"",'cronograma-csv'!G12,IFERROR(INDEX('cronograma-csv'!$G$2:$G$40,MATCH(B17,'cronograma-csv'!$E$2:$E$40,0)),"—"))</f>
        <v>S02 - API e dados</v>
      </c>
      <c r="H17" s="28" t="str">
        <f aca="false">'cronograma-csv'!H12</f>
        <v>Backend</v>
      </c>
      <c r="I17" s="28" t="str">
        <f aca="false">'cronograma-csv'!I12</f>
        <v>3 a 5 dias</v>
      </c>
      <c r="J17" s="27" t="n">
        <f aca="false">VALUE(LEFT(I17,FIND(" ",I17)-1))*IF(ISNUMBER(SEARCH("semana",I17)),DIAS_SEMANA,1)</f>
        <v>3</v>
      </c>
      <c r="K17" s="27" t="n">
        <f aca="false">IF(ISNUMBER(SEARCH(" a ",I17)),VALUE(MID(I17,FIND(" a ",I17)+3,FIND(" ",I17,FIND(" a ",I17)+3)-FIND(" a ",I17)-3)),VALUE(LEFT(I17,FIND(" ",I17)-1)))*IF(ISNUMBER(SEARCH("semana",I17)),DIAS_SEMANA,1)</f>
        <v>5</v>
      </c>
      <c r="L17" s="29" t="n">
        <f aca="false">(J17+K17)/2</f>
        <v>4</v>
      </c>
      <c r="M17" s="30" t="n">
        <f aca="false">'cronograma-csv'!J12</f>
        <v>46301</v>
      </c>
      <c r="N17" s="30" t="n">
        <f aca="false">M17+MAX(1,ROUNDUP(L17,0))-1</f>
        <v>46304</v>
      </c>
      <c r="O17" s="20" t="s">
        <v>14</v>
      </c>
      <c r="P17" s="29" t="n">
        <f aca="false">IF(C17="Story",L17,0)</f>
        <v>4</v>
      </c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1"/>
    </row>
    <row r="18" customFormat="false" ht="19.5" hidden="false" customHeight="true" outlineLevel="0" collapsed="false">
      <c r="A18" s="1"/>
      <c r="B18" s="22" t="n">
        <f aca="false">'cronograma-csv'!A13</f>
        <v>1200</v>
      </c>
      <c r="C18" s="22" t="str">
        <f aca="false">'cronograma-csv'!B13</f>
        <v>Epic</v>
      </c>
      <c r="D18" s="23" t="str">
        <f aca="false">'cronograma-csv'!C13</f>
        <v>Interface e gestão educacional</v>
      </c>
      <c r="E18" s="22" t="n">
        <f aca="false">IF(C18="Epic",B18,IF(C18="Story",'cronograma-csv'!E13,INDEX('cronograma-csv'!$E$2:$E$40,MATCH('cronograma-csv'!F13,'cronograma-csv'!$A$2:$A$40,0))))</f>
        <v>1200</v>
      </c>
      <c r="F18" s="23" t="str">
        <f aca="false">INDEX($D$7:$D$45,MATCH(E18,$B$7:$B$45,0))</f>
        <v>Interface e gestão educacional</v>
      </c>
      <c r="G18" s="23" t="str">
        <f aca="false">IF('cronograma-csv'!G13&lt;&gt;"",'cronograma-csv'!G13,IFERROR(INDEX('cronograma-csv'!$G$2:$G$40,MATCH(B18,'cronograma-csv'!$E$2:$E$40,0)),"—"))</f>
        <v>S03 - Interface e cadastros</v>
      </c>
      <c r="H18" s="23" t="str">
        <f aca="false">'cronograma-csv'!H13</f>
        <v>Frontend</v>
      </c>
      <c r="I18" s="23" t="str">
        <f aca="false">'cronograma-csv'!I13</f>
        <v>3 a 4 semanas</v>
      </c>
      <c r="J18" s="22" t="n">
        <f aca="false">VALUE(LEFT(I18,FIND(" ",I18)-1))*IF(ISNUMBER(SEARCH("semana",I18)),DIAS_SEMANA,1)</f>
        <v>21</v>
      </c>
      <c r="K18" s="22" t="n">
        <f aca="false">IF(ISNUMBER(SEARCH(" a ",I18)),VALUE(MID(I18,FIND(" a ",I18)+3,FIND(" ",I18,FIND(" a ",I18)+3)-FIND(" a ",I18)-3)),VALUE(LEFT(I18,FIND(" ",I18)-1)))*IF(ISNUMBER(SEARCH("semana",I18)),DIAS_SEMANA,1)</f>
        <v>28</v>
      </c>
      <c r="L18" s="24" t="n">
        <f aca="false">(J18+K18)/2</f>
        <v>24.5</v>
      </c>
      <c r="M18" s="25" t="n">
        <f aca="false">_xlfn.MINIFS(M19:M$45,E19:E$45,B18)</f>
        <v>46307</v>
      </c>
      <c r="N18" s="25" t="n">
        <f aca="false">_xlfn.MAXIFS(N19:N$45,E19:E$45,B18)</f>
        <v>46311</v>
      </c>
      <c r="O18" s="22" t="str">
        <f aca="false">IF(COUNTIFS(E19:E$45,B18,O19:O$45,"Bloqueado")&gt;0,"Bloqueado",IF(COUNTIFS(E19:E$45,B18,O19:O$45,"Concluído")=COUNTIF(E19:E$45,B18),"Concluído",IF(COUNTIFS(E19:E$45,B18,O19:O$45,"A fazer")=COUNTIF(E19:E$45,B18),"A fazer","Em andamento")))</f>
        <v>Concluído</v>
      </c>
      <c r="P18" s="24" t="n">
        <f aca="false">IF(C18="Story",L18,0)</f>
        <v>0</v>
      </c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1"/>
    </row>
    <row r="19" customFormat="false" ht="19.5" hidden="false" customHeight="true" outlineLevel="0" collapsed="false">
      <c r="A19" s="1"/>
      <c r="B19" s="27" t="n">
        <f aca="false">'cronograma-csv'!A14</f>
        <v>1201</v>
      </c>
      <c r="C19" s="27" t="str">
        <f aca="false">'cronograma-csv'!B14</f>
        <v>Story</v>
      </c>
      <c r="D19" s="28" t="str">
        <f aca="false">'cronograma-csv'!C14</f>
        <v>Criar estrutura de navegação e identidade visual</v>
      </c>
      <c r="E19" s="27" t="n">
        <f aca="false">IF(C19="Epic",B19,IF(C19="Story",'cronograma-csv'!E14,INDEX('cronograma-csv'!$E$2:$E$40,MATCH('cronograma-csv'!F14,'cronograma-csv'!$A$2:$A$40,0))))</f>
        <v>1200</v>
      </c>
      <c r="F19" s="28" t="str">
        <f aca="false">INDEX($D$7:$D$45,MATCH(E19,$B$7:$B$45,0))</f>
        <v>Interface e gestão educacional</v>
      </c>
      <c r="G19" s="28" t="str">
        <f aca="false">IF('cronograma-csv'!G14&lt;&gt;"",'cronograma-csv'!G14,IFERROR(INDEX('cronograma-csv'!$G$2:$G$40,MATCH(B19,'cronograma-csv'!$E$2:$E$40,0)),"—"))</f>
        <v>S03 - Interface e cadastros</v>
      </c>
      <c r="H19" s="28" t="str">
        <f aca="false">'cronograma-csv'!H14</f>
        <v>Frontend</v>
      </c>
      <c r="I19" s="28" t="str">
        <f aca="false">'cronograma-csv'!I14</f>
        <v>3 a 4 dias</v>
      </c>
      <c r="J19" s="27" t="n">
        <f aca="false">VALUE(LEFT(I19,FIND(" ",I19)-1))*IF(ISNUMBER(SEARCH("semana",I19)),DIAS_SEMANA,1)</f>
        <v>3</v>
      </c>
      <c r="K19" s="27" t="n">
        <f aca="false">IF(ISNUMBER(SEARCH(" a ",I19)),VALUE(MID(I19,FIND(" a ",I19)+3,FIND(" ",I19,FIND(" a ",I19)+3)-FIND(" a ",I19)-3)),VALUE(LEFT(I19,FIND(" ",I19)-1)))*IF(ISNUMBER(SEARCH("semana",I19)),DIAS_SEMANA,1)</f>
        <v>4</v>
      </c>
      <c r="L19" s="29" t="n">
        <f aca="false">(J19+K19)/2</f>
        <v>3.5</v>
      </c>
      <c r="M19" s="30" t="n">
        <f aca="false">'cronograma-csv'!J14</f>
        <v>46307</v>
      </c>
      <c r="N19" s="30" t="n">
        <f aca="false">M19+MAX(1,ROUNDUP(L19,0))-1</f>
        <v>46310</v>
      </c>
      <c r="O19" s="20" t="s">
        <v>14</v>
      </c>
      <c r="P19" s="29" t="n">
        <f aca="false">IF(C19="Story",L19,0)</f>
        <v>3.5</v>
      </c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1"/>
    </row>
    <row r="20" customFormat="false" ht="19.5" hidden="false" customHeight="true" outlineLevel="0" collapsed="false">
      <c r="A20" s="1"/>
      <c r="B20" s="27" t="n">
        <f aca="false">'cronograma-csv'!A15</f>
        <v>1202</v>
      </c>
      <c r="C20" s="27" t="str">
        <f aca="false">'cronograma-csv'!B15</f>
        <v>Sub-task</v>
      </c>
      <c r="D20" s="28" t="str">
        <f aca="false">'cronograma-csv'!C15</f>
        <v>Implementar componentes reutilizáveis</v>
      </c>
      <c r="E20" s="27" t="n">
        <f aca="false">IF(C20="Epic",B20,IF(C20="Story",'cronograma-csv'!E15,INDEX('cronograma-csv'!$E$2:$E$40,MATCH('cronograma-csv'!F15,'cronograma-csv'!$A$2:$A$40,0))))</f>
        <v>1200</v>
      </c>
      <c r="F20" s="28" t="str">
        <f aca="false">INDEX($D$7:$D$45,MATCH(E20,$B$7:$B$45,0))</f>
        <v>Interface e gestão educacional</v>
      </c>
      <c r="G20" s="28" t="str">
        <f aca="false">IF('cronograma-csv'!G15&lt;&gt;"",'cronograma-csv'!G15,IFERROR(INDEX('cronograma-csv'!$G$2:$G$40,MATCH(B20,'cronograma-csv'!$E$2:$E$40,0)),"—"))</f>
        <v>S03 - Interface e cadastros</v>
      </c>
      <c r="H20" s="28" t="str">
        <f aca="false">'cronograma-csv'!H15</f>
        <v>Frontend</v>
      </c>
      <c r="I20" s="28" t="str">
        <f aca="false">'cronograma-csv'!I15</f>
        <v>2 a 3 dias</v>
      </c>
      <c r="J20" s="27" t="n">
        <f aca="false">VALUE(LEFT(I20,FIND(" ",I20)-1))*IF(ISNUMBER(SEARCH("semana",I20)),DIAS_SEMANA,1)</f>
        <v>2</v>
      </c>
      <c r="K20" s="27" t="n">
        <f aca="false">IF(ISNUMBER(SEARCH(" a ",I20)),VALUE(MID(I20,FIND(" a ",I20)+3,FIND(" ",I20,FIND(" a ",I20)+3)-FIND(" a ",I20)-3)),VALUE(LEFT(I20,FIND(" ",I20)-1)))*IF(ISNUMBER(SEARCH("semana",I20)),DIAS_SEMANA,1)</f>
        <v>3</v>
      </c>
      <c r="L20" s="29" t="n">
        <f aca="false">(J20+K20)/2</f>
        <v>2.5</v>
      </c>
      <c r="M20" s="30" t="n">
        <f aca="false">'cronograma-csv'!J15</f>
        <v>46308</v>
      </c>
      <c r="N20" s="30" t="n">
        <f aca="false">M20+MAX(1,ROUNDUP(L20,0))-1</f>
        <v>46310</v>
      </c>
      <c r="O20" s="20" t="s">
        <v>14</v>
      </c>
      <c r="P20" s="29" t="n">
        <f aca="false">IF(C20="Story",L20,0)</f>
        <v>0</v>
      </c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1"/>
    </row>
    <row r="21" customFormat="false" ht="19.5" hidden="false" customHeight="true" outlineLevel="0" collapsed="false">
      <c r="A21" s="1"/>
      <c r="B21" s="27" t="n">
        <f aca="false">'cronograma-csv'!A16</f>
        <v>1203</v>
      </c>
      <c r="C21" s="27" t="str">
        <f aca="false">'cronograma-csv'!B16</f>
        <v>Story</v>
      </c>
      <c r="D21" s="28" t="str">
        <f aca="false">'cronograma-csv'!C16</f>
        <v>Construir telas de cadastros educacionais</v>
      </c>
      <c r="E21" s="27" t="n">
        <f aca="false">IF(C21="Epic",B21,IF(C21="Story",'cronograma-csv'!E16,INDEX('cronograma-csv'!$E$2:$E$40,MATCH('cronograma-csv'!F16,'cronograma-csv'!$A$2:$A$40,0))))</f>
        <v>1200</v>
      </c>
      <c r="F21" s="28" t="str">
        <f aca="false">INDEX($D$7:$D$45,MATCH(E21,$B$7:$B$45,0))</f>
        <v>Interface e gestão educacional</v>
      </c>
      <c r="G21" s="28" t="str">
        <f aca="false">IF('cronograma-csv'!G16&lt;&gt;"",'cronograma-csv'!G16,IFERROR(INDEX('cronograma-csv'!$G$2:$G$40,MATCH(B21,'cronograma-csv'!$E$2:$E$40,0)),"—"))</f>
        <v>S03 - Interface e cadastros</v>
      </c>
      <c r="H21" s="28" t="str">
        <f aca="false">'cronograma-csv'!H16</f>
        <v>Frontend</v>
      </c>
      <c r="I21" s="28" t="str">
        <f aca="false">'cronograma-csv'!I16</f>
        <v>4 a 5 dias</v>
      </c>
      <c r="J21" s="27" t="n">
        <f aca="false">VALUE(LEFT(I21,FIND(" ",I21)-1))*IF(ISNUMBER(SEARCH("semana",I21)),DIAS_SEMANA,1)</f>
        <v>4</v>
      </c>
      <c r="K21" s="27" t="n">
        <f aca="false">IF(ISNUMBER(SEARCH(" a ",I21)),VALUE(MID(I21,FIND(" a ",I21)+3,FIND(" ",I21,FIND(" a ",I21)+3)-FIND(" a ",I21)-3)),VALUE(LEFT(I21,FIND(" ",I21)-1)))*IF(ISNUMBER(SEARCH("semana",I21)),DIAS_SEMANA,1)</f>
        <v>5</v>
      </c>
      <c r="L21" s="29" t="n">
        <f aca="false">(J21+K21)/2</f>
        <v>4.5</v>
      </c>
      <c r="M21" s="30" t="n">
        <f aca="false">'cronograma-csv'!J16</f>
        <v>46307</v>
      </c>
      <c r="N21" s="30" t="n">
        <f aca="false">M21+MAX(1,ROUNDUP(L21,0))-1</f>
        <v>46311</v>
      </c>
      <c r="O21" s="20" t="s">
        <v>14</v>
      </c>
      <c r="P21" s="29" t="n">
        <f aca="false">IF(C21="Story",L21,0)</f>
        <v>4.5</v>
      </c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1"/>
    </row>
    <row r="22" customFormat="false" ht="19.5" hidden="false" customHeight="true" outlineLevel="0" collapsed="false">
      <c r="A22" s="1"/>
      <c r="B22" s="27" t="n">
        <f aca="false">'cronograma-csv'!A17</f>
        <v>1204</v>
      </c>
      <c r="C22" s="27" t="str">
        <f aca="false">'cronograma-csv'!B17</f>
        <v>Sub-task</v>
      </c>
      <c r="D22" s="28" t="str">
        <f aca="false">'cronograma-csv'!C17</f>
        <v>Implementar consulta e manutenção de registros</v>
      </c>
      <c r="E22" s="27" t="n">
        <f aca="false">IF(C22="Epic",B22,IF(C22="Story",'cronograma-csv'!E17,INDEX('cronograma-csv'!$E$2:$E$40,MATCH('cronograma-csv'!F17,'cronograma-csv'!$A$2:$A$40,0))))</f>
        <v>1200</v>
      </c>
      <c r="F22" s="28" t="str">
        <f aca="false">INDEX($D$7:$D$45,MATCH(E22,$B$7:$B$45,0))</f>
        <v>Interface e gestão educacional</v>
      </c>
      <c r="G22" s="28" t="str">
        <f aca="false">IF('cronograma-csv'!G17&lt;&gt;"",'cronograma-csv'!G17,IFERROR(INDEX('cronograma-csv'!$G$2:$G$40,MATCH(B22,'cronograma-csv'!$E$2:$E$40,0)),"—"))</f>
        <v>S03 - Interface e cadastros</v>
      </c>
      <c r="H22" s="28" t="str">
        <f aca="false">'cronograma-csv'!H17</f>
        <v>Frontend</v>
      </c>
      <c r="I22" s="28" t="str">
        <f aca="false">'cronograma-csv'!I17</f>
        <v>2 a 3 dias</v>
      </c>
      <c r="J22" s="27" t="n">
        <f aca="false">VALUE(LEFT(I22,FIND(" ",I22)-1))*IF(ISNUMBER(SEARCH("semana",I22)),DIAS_SEMANA,1)</f>
        <v>2</v>
      </c>
      <c r="K22" s="27" t="n">
        <f aca="false">IF(ISNUMBER(SEARCH(" a ",I22)),VALUE(MID(I22,FIND(" a ",I22)+3,FIND(" ",I22,FIND(" a ",I22)+3)-FIND(" a ",I22)-3)),VALUE(LEFT(I22,FIND(" ",I22)-1)))*IF(ISNUMBER(SEARCH("semana",I22)),DIAS_SEMANA,1)</f>
        <v>3</v>
      </c>
      <c r="L22" s="29" t="n">
        <f aca="false">(J22+K22)/2</f>
        <v>2.5</v>
      </c>
      <c r="M22" s="30" t="n">
        <f aca="false">'cronograma-csv'!J17</f>
        <v>46308</v>
      </c>
      <c r="N22" s="30" t="n">
        <f aca="false">M22+MAX(1,ROUNDUP(L22,0))-1</f>
        <v>46310</v>
      </c>
      <c r="O22" s="20" t="s">
        <v>14</v>
      </c>
      <c r="P22" s="29" t="n">
        <f aca="false">IF(C22="Story",L22,0)</f>
        <v>0</v>
      </c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1"/>
    </row>
    <row r="23" customFormat="false" ht="19.5" hidden="false" customHeight="true" outlineLevel="0" collapsed="false">
      <c r="A23" s="1"/>
      <c r="B23" s="27" t="n">
        <f aca="false">'cronograma-csv'!A18</f>
        <v>1205</v>
      </c>
      <c r="C23" s="27" t="str">
        <f aca="false">'cronograma-csv'!B18</f>
        <v>Story</v>
      </c>
      <c r="D23" s="28" t="str">
        <f aca="false">'cronograma-csv'!C18</f>
        <v>Importar cadastros a partir de planilhas</v>
      </c>
      <c r="E23" s="27" t="n">
        <f aca="false">IF(C23="Epic",B23,IF(C23="Story",'cronograma-csv'!E18,INDEX('cronograma-csv'!$E$2:$E$40,MATCH('cronograma-csv'!F18,'cronograma-csv'!$A$2:$A$40,0))))</f>
        <v>1200</v>
      </c>
      <c r="F23" s="28" t="str">
        <f aca="false">INDEX($D$7:$D$45,MATCH(E23,$B$7:$B$45,0))</f>
        <v>Interface e gestão educacional</v>
      </c>
      <c r="G23" s="28" t="str">
        <f aca="false">IF('cronograma-csv'!G18&lt;&gt;"",'cronograma-csv'!G18,IFERROR(INDEX('cronograma-csv'!$G$2:$G$40,MATCH(B23,'cronograma-csv'!$E$2:$E$40,0)),"—"))</f>
        <v>S03 - Interface e cadastros</v>
      </c>
      <c r="H23" s="28" t="str">
        <f aca="false">'cronograma-csv'!H18</f>
        <v>Integrações</v>
      </c>
      <c r="I23" s="28" t="str">
        <f aca="false">'cronograma-csv'!I18</f>
        <v>4 a 5 dias</v>
      </c>
      <c r="J23" s="27" t="n">
        <f aca="false">VALUE(LEFT(I23,FIND(" ",I23)-1))*IF(ISNUMBER(SEARCH("semana",I23)),DIAS_SEMANA,1)</f>
        <v>4</v>
      </c>
      <c r="K23" s="27" t="n">
        <f aca="false">IF(ISNUMBER(SEARCH(" a ",I23)),VALUE(MID(I23,FIND(" a ",I23)+3,FIND(" ",I23,FIND(" a ",I23)+3)-FIND(" a ",I23)-3)),VALUE(LEFT(I23,FIND(" ",I23)-1)))*IF(ISNUMBER(SEARCH("semana",I23)),DIAS_SEMANA,1)</f>
        <v>5</v>
      </c>
      <c r="L23" s="29" t="n">
        <f aca="false">(J23+K23)/2</f>
        <v>4.5</v>
      </c>
      <c r="M23" s="30" t="n">
        <f aca="false">'cronograma-csv'!J18</f>
        <v>46307</v>
      </c>
      <c r="N23" s="30" t="n">
        <f aca="false">M23+MAX(1,ROUNDUP(L23,0))-1</f>
        <v>46311</v>
      </c>
      <c r="O23" s="20" t="s">
        <v>14</v>
      </c>
      <c r="P23" s="29" t="n">
        <f aca="false">IF(C23="Story",L23,0)</f>
        <v>4.5</v>
      </c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1"/>
    </row>
    <row r="24" customFormat="false" ht="19.5" hidden="false" customHeight="true" outlineLevel="0" collapsed="false">
      <c r="A24" s="1"/>
      <c r="B24" s="27" t="n">
        <f aca="false">'cronograma-csv'!A19</f>
        <v>1206</v>
      </c>
      <c r="C24" s="27" t="str">
        <f aca="false">'cronograma-csv'!B19</f>
        <v>Sub-task</v>
      </c>
      <c r="D24" s="28" t="str">
        <f aca="false">'cronograma-csv'!C19</f>
        <v>Validar colunas e dependências de importação</v>
      </c>
      <c r="E24" s="27" t="n">
        <f aca="false">IF(C24="Epic",B24,IF(C24="Story",'cronograma-csv'!E19,INDEX('cronograma-csv'!$E$2:$E$40,MATCH('cronograma-csv'!F19,'cronograma-csv'!$A$2:$A$40,0))))</f>
        <v>1200</v>
      </c>
      <c r="F24" s="28" t="str">
        <f aca="false">INDEX($D$7:$D$45,MATCH(E24,$B$7:$B$45,0))</f>
        <v>Interface e gestão educacional</v>
      </c>
      <c r="G24" s="28" t="str">
        <f aca="false">IF('cronograma-csv'!G19&lt;&gt;"",'cronograma-csv'!G19,IFERROR(INDEX('cronograma-csv'!$G$2:$G$40,MATCH(B24,'cronograma-csv'!$E$2:$E$40,0)),"—"))</f>
        <v>S03 - Interface e cadastros</v>
      </c>
      <c r="H24" s="28" t="str">
        <f aca="false">'cronograma-csv'!H19</f>
        <v>Integrações</v>
      </c>
      <c r="I24" s="28" t="str">
        <f aca="false">'cronograma-csv'!I19</f>
        <v>1 a 2 dias</v>
      </c>
      <c r="J24" s="27" t="n">
        <f aca="false">VALUE(LEFT(I24,FIND(" ",I24)-1))*IF(ISNUMBER(SEARCH("semana",I24)),DIAS_SEMANA,1)</f>
        <v>1</v>
      </c>
      <c r="K24" s="27" t="n">
        <f aca="false">IF(ISNUMBER(SEARCH(" a ",I24)),VALUE(MID(I24,FIND(" a ",I24)+3,FIND(" ",I24,FIND(" a ",I24)+3)-FIND(" a ",I24)-3)),VALUE(LEFT(I24,FIND(" ",I24)-1)))*IF(ISNUMBER(SEARCH("semana",I24)),DIAS_SEMANA,1)</f>
        <v>2</v>
      </c>
      <c r="L24" s="29" t="n">
        <f aca="false">(J24+K24)/2</f>
        <v>1.5</v>
      </c>
      <c r="M24" s="30" t="n">
        <f aca="false">'cronograma-csv'!J19</f>
        <v>46308</v>
      </c>
      <c r="N24" s="30" t="n">
        <f aca="false">M24+MAX(1,ROUNDUP(L24,0))-1</f>
        <v>46309</v>
      </c>
      <c r="O24" s="20" t="s">
        <v>14</v>
      </c>
      <c r="P24" s="29" t="n">
        <f aca="false">IF(C24="Story",L24,0)</f>
        <v>0</v>
      </c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1"/>
    </row>
    <row r="25" customFormat="false" ht="19.5" hidden="false" customHeight="true" outlineLevel="0" collapsed="false">
      <c r="A25" s="1"/>
      <c r="B25" s="22" t="n">
        <f aca="false">'cronograma-csv'!A20</f>
        <v>1300</v>
      </c>
      <c r="C25" s="22" t="str">
        <f aca="false">'cronograma-csv'!B20</f>
        <v>Epic</v>
      </c>
      <c r="D25" s="23" t="str">
        <f aca="false">'cronograma-csv'!C20</f>
        <v>Avaliações e acompanhamento do ODS 4</v>
      </c>
      <c r="E25" s="22" t="n">
        <f aca="false">IF(C25="Epic",B25,IF(C25="Story",'cronograma-csv'!E20,INDEX('cronograma-csv'!$E$2:$E$40,MATCH('cronograma-csv'!F20,'cronograma-csv'!$A$2:$A$40,0))))</f>
        <v>1300</v>
      </c>
      <c r="F25" s="23" t="str">
        <f aca="false">INDEX($D$7:$D$45,MATCH(E25,$B$7:$B$45,0))</f>
        <v>Avaliações e acompanhamento do ODS 4</v>
      </c>
      <c r="G25" s="23" t="str">
        <f aca="false">IF('cronograma-csv'!G20&lt;&gt;"",'cronograma-csv'!G20,IFERROR(INDEX('cronograma-csv'!$G$2:$G$40,MATCH(B25,'cronograma-csv'!$E$2:$E$40,0)),"—"))</f>
        <v>S04 - Avaliações e indicadores</v>
      </c>
      <c r="H25" s="23" t="str">
        <f aca="false">'cronograma-csv'!H20</f>
        <v>Dados e Analytics</v>
      </c>
      <c r="I25" s="23" t="str">
        <f aca="false">'cronograma-csv'!I20</f>
        <v>2 a 3 semanas</v>
      </c>
      <c r="J25" s="22" t="n">
        <f aca="false">VALUE(LEFT(I25,FIND(" ",I25)-1))*IF(ISNUMBER(SEARCH("semana",I25)),DIAS_SEMANA,1)</f>
        <v>14</v>
      </c>
      <c r="K25" s="22" t="n">
        <f aca="false">IF(ISNUMBER(SEARCH(" a ",I25)),VALUE(MID(I25,FIND(" a ",I25)+3,FIND(" ",I25,FIND(" a ",I25)+3)-FIND(" a ",I25)-3)),VALUE(LEFT(I25,FIND(" ",I25)-1)))*IF(ISNUMBER(SEARCH("semana",I25)),DIAS_SEMANA,1)</f>
        <v>21</v>
      </c>
      <c r="L25" s="24" t="n">
        <f aca="false">(J25+K25)/2</f>
        <v>17.5</v>
      </c>
      <c r="M25" s="25" t="n">
        <f aca="false">_xlfn.MINIFS(M26:M$45,E26:E$45,B25)</f>
        <v>46312</v>
      </c>
      <c r="N25" s="25" t="n">
        <f aca="false">_xlfn.MAXIFS(N26:N$45,E26:E$45,B25)</f>
        <v>46316</v>
      </c>
      <c r="O25" s="22" t="str">
        <f aca="false">IF(COUNTIFS(E26:E$45,B25,O26:O$45,"Bloqueado")&gt;0,"Bloqueado",IF(COUNTIFS(E26:E$45,B25,O26:O$45,"Concluído")=COUNTIF(E26:E$45,B25),"Concluído",IF(COUNTIFS(E26:E$45,B25,O26:O$45,"A fazer")=COUNTIF(E26:E$45,B25),"A fazer","Em andamento")))</f>
        <v>Concluído</v>
      </c>
      <c r="P25" s="24" t="n">
        <f aca="false">IF(C25="Story",L25,0)</f>
        <v>0</v>
      </c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1"/>
    </row>
    <row r="26" customFormat="false" ht="19.5" hidden="false" customHeight="true" outlineLevel="0" collapsed="false">
      <c r="A26" s="1"/>
      <c r="B26" s="27" t="n">
        <f aca="false">'cronograma-csv'!A21</f>
        <v>1301</v>
      </c>
      <c r="C26" s="27" t="str">
        <f aca="false">'cronograma-csv'!B21</f>
        <v>Story</v>
      </c>
      <c r="D26" s="28" t="str">
        <f aca="false">'cronograma-csv'!C21</f>
        <v>Criar telas de avaliação</v>
      </c>
      <c r="E26" s="27" t="n">
        <f aca="false">IF(C26="Epic",B26,IF(C26="Story",'cronograma-csv'!E21,INDEX('cronograma-csv'!$E$2:$E$40,MATCH('cronograma-csv'!F21,'cronograma-csv'!$A$2:$A$40,0))))</f>
        <v>1300</v>
      </c>
      <c r="F26" s="28" t="str">
        <f aca="false">INDEX($D$7:$D$45,MATCH(E26,$B$7:$B$45,0))</f>
        <v>Avaliações e acompanhamento do ODS 4</v>
      </c>
      <c r="G26" s="28" t="str">
        <f aca="false">IF('cronograma-csv'!G21&lt;&gt;"",'cronograma-csv'!G21,IFERROR(INDEX('cronograma-csv'!$G$2:$G$40,MATCH(B26,'cronograma-csv'!$E$2:$E$40,0)),"—"))</f>
        <v>S04 - Avaliações e indicadores</v>
      </c>
      <c r="H26" s="28" t="str">
        <f aca="false">'cronograma-csv'!H21</f>
        <v>Frontend</v>
      </c>
      <c r="I26" s="28" t="str">
        <f aca="false">'cronograma-csv'!I21</f>
        <v>2 a 3 dias</v>
      </c>
      <c r="J26" s="27" t="n">
        <f aca="false">VALUE(LEFT(I26,FIND(" ",I26)-1))*IF(ISNUMBER(SEARCH("semana",I26)),DIAS_SEMANA,1)</f>
        <v>2</v>
      </c>
      <c r="K26" s="27" t="n">
        <f aca="false">IF(ISNUMBER(SEARCH(" a ",I26)),VALUE(MID(I26,FIND(" a ",I26)+3,FIND(" ",I26,FIND(" a ",I26)+3)-FIND(" a ",I26)-3)),VALUE(LEFT(I26,FIND(" ",I26)-1)))*IF(ISNUMBER(SEARCH("semana",I26)),DIAS_SEMANA,1)</f>
        <v>3</v>
      </c>
      <c r="L26" s="29" t="n">
        <f aca="false">(J26+K26)/2</f>
        <v>2.5</v>
      </c>
      <c r="M26" s="30" t="n">
        <f aca="false">'cronograma-csv'!J21</f>
        <v>46312</v>
      </c>
      <c r="N26" s="30" t="n">
        <f aca="false">M26+MAX(1,ROUNDUP(L26,0))-1</f>
        <v>46314</v>
      </c>
      <c r="O26" s="20" t="s">
        <v>14</v>
      </c>
      <c r="P26" s="29" t="n">
        <f aca="false">IF(C26="Story",L26,0)</f>
        <v>2.5</v>
      </c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1"/>
    </row>
    <row r="27" customFormat="false" ht="19.5" hidden="false" customHeight="true" outlineLevel="0" collapsed="false">
      <c r="A27" s="1"/>
      <c r="B27" s="27" t="n">
        <f aca="false">'cronograma-csv'!A22</f>
        <v>1302</v>
      </c>
      <c r="C27" s="27" t="str">
        <f aca="false">'cronograma-csv'!B22</f>
        <v>Sub-task</v>
      </c>
      <c r="D27" s="28" t="str">
        <f aca="false">'cronograma-csv'!C22</f>
        <v>Integrar avaliações à API</v>
      </c>
      <c r="E27" s="27" t="n">
        <f aca="false">IF(C27="Epic",B27,IF(C27="Story",'cronograma-csv'!E22,INDEX('cronograma-csv'!$E$2:$E$40,MATCH('cronograma-csv'!F22,'cronograma-csv'!$A$2:$A$40,0))))</f>
        <v>1300</v>
      </c>
      <c r="F27" s="28" t="str">
        <f aca="false">INDEX($D$7:$D$45,MATCH(E27,$B$7:$B$45,0))</f>
        <v>Avaliações e acompanhamento do ODS 4</v>
      </c>
      <c r="G27" s="28" t="str">
        <f aca="false">IF('cronograma-csv'!G22&lt;&gt;"",'cronograma-csv'!G22,IFERROR(INDEX('cronograma-csv'!$G$2:$G$40,MATCH(B27,'cronograma-csv'!$E$2:$E$40,0)),"—"))</f>
        <v>S04 - Avaliações e indicadores</v>
      </c>
      <c r="H27" s="28" t="str">
        <f aca="false">'cronograma-csv'!H22</f>
        <v>Backend</v>
      </c>
      <c r="I27" s="28" t="str">
        <f aca="false">'cronograma-csv'!I22</f>
        <v>1 a 2 dias</v>
      </c>
      <c r="J27" s="27" t="n">
        <f aca="false">VALUE(LEFT(I27,FIND(" ",I27)-1))*IF(ISNUMBER(SEARCH("semana",I27)),DIAS_SEMANA,1)</f>
        <v>1</v>
      </c>
      <c r="K27" s="27" t="n">
        <f aca="false">IF(ISNUMBER(SEARCH(" a ",I27)),VALUE(MID(I27,FIND(" a ",I27)+3,FIND(" ",I27,FIND(" a ",I27)+3)-FIND(" a ",I27)-3)),VALUE(LEFT(I27,FIND(" ",I27)-1)))*IF(ISNUMBER(SEARCH("semana",I27)),DIAS_SEMANA,1)</f>
        <v>2</v>
      </c>
      <c r="L27" s="29" t="n">
        <f aca="false">(J27+K27)/2</f>
        <v>1.5</v>
      </c>
      <c r="M27" s="30" t="n">
        <f aca="false">'cronograma-csv'!J22</f>
        <v>46313</v>
      </c>
      <c r="N27" s="30" t="n">
        <f aca="false">M27+MAX(1,ROUNDUP(L27,0))-1</f>
        <v>46314</v>
      </c>
      <c r="O27" s="20" t="s">
        <v>14</v>
      </c>
      <c r="P27" s="29" t="n">
        <f aca="false">IF(C27="Story",L27,0)</f>
        <v>0</v>
      </c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1"/>
    </row>
    <row r="28" customFormat="false" ht="19.5" hidden="false" customHeight="true" outlineLevel="0" collapsed="false">
      <c r="A28" s="1"/>
      <c r="B28" s="27" t="n">
        <f aca="false">'cronograma-csv'!A23</f>
        <v>1303</v>
      </c>
      <c r="C28" s="27" t="str">
        <f aca="false">'cronograma-csv'!B23</f>
        <v>Story</v>
      </c>
      <c r="D28" s="28" t="str">
        <f aca="false">'cronograma-csv'!C23</f>
        <v>Construir dashboard e relatório gerencial</v>
      </c>
      <c r="E28" s="27" t="n">
        <f aca="false">IF(C28="Epic",B28,IF(C28="Story",'cronograma-csv'!E23,INDEX('cronograma-csv'!$E$2:$E$40,MATCH('cronograma-csv'!F23,'cronograma-csv'!$A$2:$A$40,0))))</f>
        <v>1300</v>
      </c>
      <c r="F28" s="28" t="str">
        <f aca="false">INDEX($D$7:$D$45,MATCH(E28,$B$7:$B$45,0))</f>
        <v>Avaliações e acompanhamento do ODS 4</v>
      </c>
      <c r="G28" s="28" t="str">
        <f aca="false">IF('cronograma-csv'!G23&lt;&gt;"",'cronograma-csv'!G23,IFERROR(INDEX('cronograma-csv'!$G$2:$G$40,MATCH(B28,'cronograma-csv'!$E$2:$E$40,0)),"—"))</f>
        <v>S04 - Avaliações e indicadores</v>
      </c>
      <c r="H28" s="28" t="str">
        <f aca="false">'cronograma-csv'!H23</f>
        <v>Dados e Analytics</v>
      </c>
      <c r="I28" s="28" t="str">
        <f aca="false">'cronograma-csv'!I23</f>
        <v>4 a 5 dias</v>
      </c>
      <c r="J28" s="27" t="n">
        <f aca="false">VALUE(LEFT(I28,FIND(" ",I28)-1))*IF(ISNUMBER(SEARCH("semana",I28)),DIAS_SEMANA,1)</f>
        <v>4</v>
      </c>
      <c r="K28" s="27" t="n">
        <f aca="false">IF(ISNUMBER(SEARCH(" a ",I28)),VALUE(MID(I28,FIND(" a ",I28)+3,FIND(" ",I28,FIND(" a ",I28)+3)-FIND(" a ",I28)-3)),VALUE(LEFT(I28,FIND(" ",I28)-1)))*IF(ISNUMBER(SEARCH("semana",I28)),DIAS_SEMANA,1)</f>
        <v>5</v>
      </c>
      <c r="L28" s="29" t="n">
        <f aca="false">(J28+K28)/2</f>
        <v>4.5</v>
      </c>
      <c r="M28" s="30" t="n">
        <f aca="false">'cronograma-csv'!J23</f>
        <v>46312</v>
      </c>
      <c r="N28" s="30" t="n">
        <f aca="false">M28+MAX(1,ROUNDUP(L28,0))-1</f>
        <v>46316</v>
      </c>
      <c r="O28" s="20" t="s">
        <v>14</v>
      </c>
      <c r="P28" s="29" t="n">
        <f aca="false">IF(C28="Story",L28,0)</f>
        <v>4.5</v>
      </c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1"/>
    </row>
    <row r="29" customFormat="false" ht="19.5" hidden="false" customHeight="true" outlineLevel="0" collapsed="false">
      <c r="A29" s="1"/>
      <c r="B29" s="27" t="n">
        <f aca="false">'cronograma-csv'!A24</f>
        <v>1304</v>
      </c>
      <c r="C29" s="27" t="str">
        <f aca="false">'cronograma-csv'!B24</f>
        <v>Sub-task</v>
      </c>
      <c r="D29" s="28" t="str">
        <f aca="false">'cronograma-csv'!C24</f>
        <v>Implementar agregações e visualizações</v>
      </c>
      <c r="E29" s="27" t="n">
        <f aca="false">IF(C29="Epic",B29,IF(C29="Story",'cronograma-csv'!E24,INDEX('cronograma-csv'!$E$2:$E$40,MATCH('cronograma-csv'!F24,'cronograma-csv'!$A$2:$A$40,0))))</f>
        <v>1300</v>
      </c>
      <c r="F29" s="28" t="str">
        <f aca="false">INDEX($D$7:$D$45,MATCH(E29,$B$7:$B$45,0))</f>
        <v>Avaliações e acompanhamento do ODS 4</v>
      </c>
      <c r="G29" s="28" t="str">
        <f aca="false">IF('cronograma-csv'!G24&lt;&gt;"",'cronograma-csv'!G24,IFERROR(INDEX('cronograma-csv'!$G$2:$G$40,MATCH(B29,'cronograma-csv'!$E$2:$E$40,0)),"—"))</f>
        <v>S04 - Avaliações e indicadores</v>
      </c>
      <c r="H29" s="28" t="str">
        <f aca="false">'cronograma-csv'!H24</f>
        <v>Dados e Analytics</v>
      </c>
      <c r="I29" s="28" t="str">
        <f aca="false">'cronograma-csv'!I24</f>
        <v>2 a 3 dias</v>
      </c>
      <c r="J29" s="27" t="n">
        <f aca="false">VALUE(LEFT(I29,FIND(" ",I29)-1))*IF(ISNUMBER(SEARCH("semana",I29)),DIAS_SEMANA,1)</f>
        <v>2</v>
      </c>
      <c r="K29" s="27" t="n">
        <f aca="false">IF(ISNUMBER(SEARCH(" a ",I29)),VALUE(MID(I29,FIND(" a ",I29)+3,FIND(" ",I29,FIND(" a ",I29)+3)-FIND(" a ",I29)-3)),VALUE(LEFT(I29,FIND(" ",I29)-1)))*IF(ISNUMBER(SEARCH("semana",I29)),DIAS_SEMANA,1)</f>
        <v>3</v>
      </c>
      <c r="L29" s="29" t="n">
        <f aca="false">(J29+K29)/2</f>
        <v>2.5</v>
      </c>
      <c r="M29" s="30" t="n">
        <f aca="false">'cronograma-csv'!J24</f>
        <v>46313</v>
      </c>
      <c r="N29" s="30" t="n">
        <f aca="false">M29+MAX(1,ROUNDUP(L29,0))-1</f>
        <v>46315</v>
      </c>
      <c r="O29" s="20" t="s">
        <v>14</v>
      </c>
      <c r="P29" s="29" t="n">
        <f aca="false">IF(C29="Story",L29,0)</f>
        <v>0</v>
      </c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1"/>
    </row>
    <row r="30" customFormat="false" ht="19.5" hidden="false" customHeight="true" outlineLevel="0" collapsed="false">
      <c r="A30" s="1"/>
      <c r="B30" s="27" t="n">
        <f aca="false">'cronograma-csv'!A25</f>
        <v>1305</v>
      </c>
      <c r="C30" s="27" t="str">
        <f aca="false">'cronograma-csv'!B25</f>
        <v>Story</v>
      </c>
      <c r="D30" s="28" t="str">
        <f aca="false">'cronograma-csv'!C25</f>
        <v>Apresentar contexto e mapa educacional</v>
      </c>
      <c r="E30" s="27" t="n">
        <f aca="false">IF(C30="Epic",B30,IF(C30="Story",'cronograma-csv'!E25,INDEX('cronograma-csv'!$E$2:$E$40,MATCH('cronograma-csv'!F25,'cronograma-csv'!$A$2:$A$40,0))))</f>
        <v>1300</v>
      </c>
      <c r="F30" s="28" t="str">
        <f aca="false">INDEX($D$7:$D$45,MATCH(E30,$B$7:$B$45,0))</f>
        <v>Avaliações e acompanhamento do ODS 4</v>
      </c>
      <c r="G30" s="28" t="str">
        <f aca="false">IF('cronograma-csv'!G25&lt;&gt;"",'cronograma-csv'!G25,IFERROR(INDEX('cronograma-csv'!$G$2:$G$40,MATCH(B30,'cronograma-csv'!$E$2:$E$40,0)),"—"))</f>
        <v>S04 - Avaliações e indicadores</v>
      </c>
      <c r="H30" s="28" t="str">
        <f aca="false">'cronograma-csv'!H25</f>
        <v>Frontend</v>
      </c>
      <c r="I30" s="28" t="str">
        <f aca="false">'cronograma-csv'!I25</f>
        <v>3 a 4 dias</v>
      </c>
      <c r="J30" s="27" t="n">
        <f aca="false">VALUE(LEFT(I30,FIND(" ",I30)-1))*IF(ISNUMBER(SEARCH("semana",I30)),DIAS_SEMANA,1)</f>
        <v>3</v>
      </c>
      <c r="K30" s="27" t="n">
        <f aca="false">IF(ISNUMBER(SEARCH(" a ",I30)),VALUE(MID(I30,FIND(" a ",I30)+3,FIND(" ",I30,FIND(" a ",I30)+3)-FIND(" a ",I30)-3)),VALUE(LEFT(I30,FIND(" ",I30)-1)))*IF(ISNUMBER(SEARCH("semana",I30)),DIAS_SEMANA,1)</f>
        <v>4</v>
      </c>
      <c r="L30" s="29" t="n">
        <f aca="false">(J30+K30)/2</f>
        <v>3.5</v>
      </c>
      <c r="M30" s="30" t="n">
        <f aca="false">'cronograma-csv'!J25</f>
        <v>46312</v>
      </c>
      <c r="N30" s="30" t="n">
        <f aca="false">M30+MAX(1,ROUNDUP(L30,0))-1</f>
        <v>46315</v>
      </c>
      <c r="O30" s="20" t="s">
        <v>14</v>
      </c>
      <c r="P30" s="29" t="n">
        <f aca="false">IF(C30="Story",L30,0)</f>
        <v>3.5</v>
      </c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1"/>
    </row>
    <row r="31" customFormat="false" ht="19.5" hidden="false" customHeight="true" outlineLevel="0" collapsed="false">
      <c r="A31" s="1"/>
      <c r="B31" s="27" t="n">
        <f aca="false">'cronograma-csv'!A26</f>
        <v>1306</v>
      </c>
      <c r="C31" s="27" t="str">
        <f aca="false">'cronograma-csv'!B26</f>
        <v>Sub-task</v>
      </c>
      <c r="D31" s="28" t="str">
        <f aca="false">'cronograma-csv'!C26</f>
        <v>Integrar dados geográficos e fontes</v>
      </c>
      <c r="E31" s="27" t="n">
        <f aca="false">IF(C31="Epic",B31,IF(C31="Story",'cronograma-csv'!E26,INDEX('cronograma-csv'!$E$2:$E$40,MATCH('cronograma-csv'!F26,'cronograma-csv'!$A$2:$A$40,0))))</f>
        <v>1300</v>
      </c>
      <c r="F31" s="28" t="str">
        <f aca="false">INDEX($D$7:$D$45,MATCH(E31,$B$7:$B$45,0))</f>
        <v>Avaliações e acompanhamento do ODS 4</v>
      </c>
      <c r="G31" s="28" t="str">
        <f aca="false">IF('cronograma-csv'!G26&lt;&gt;"",'cronograma-csv'!G26,IFERROR(INDEX('cronograma-csv'!$G$2:$G$40,MATCH(B31,'cronograma-csv'!$E$2:$E$40,0)),"—"))</f>
        <v>S04 - Avaliações e indicadores</v>
      </c>
      <c r="H31" s="28" t="str">
        <f aca="false">'cronograma-csv'!H26</f>
        <v>Integrações</v>
      </c>
      <c r="I31" s="28" t="str">
        <f aca="false">'cronograma-csv'!I26</f>
        <v>2 dias</v>
      </c>
      <c r="J31" s="27" t="n">
        <f aca="false">VALUE(LEFT(I31,FIND(" ",I31)-1))*IF(ISNUMBER(SEARCH("semana",I31)),DIAS_SEMANA,1)</f>
        <v>2</v>
      </c>
      <c r="K31" s="27" t="n">
        <f aca="false">IF(ISNUMBER(SEARCH(" a ",I31)),VALUE(MID(I31,FIND(" a ",I31)+3,FIND(" ",I31,FIND(" a ",I31)+3)-FIND(" a ",I31)-3)),VALUE(LEFT(I31,FIND(" ",I31)-1)))*IF(ISNUMBER(SEARCH("semana",I31)),DIAS_SEMANA,1)</f>
        <v>2</v>
      </c>
      <c r="L31" s="29" t="n">
        <f aca="false">(J31+K31)/2</f>
        <v>2</v>
      </c>
      <c r="M31" s="30" t="n">
        <f aca="false">'cronograma-csv'!J26</f>
        <v>46313</v>
      </c>
      <c r="N31" s="30" t="n">
        <f aca="false">M31+MAX(1,ROUNDUP(L31,0))-1</f>
        <v>46314</v>
      </c>
      <c r="O31" s="20" t="s">
        <v>14</v>
      </c>
      <c r="P31" s="29" t="n">
        <f aca="false">IF(C31="Story",L31,0)</f>
        <v>0</v>
      </c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1"/>
    </row>
    <row r="32" customFormat="false" ht="19.5" hidden="false" customHeight="true" outlineLevel="0" collapsed="false">
      <c r="A32" s="1"/>
      <c r="B32" s="22" t="n">
        <f aca="false">'cronograma-csv'!A27</f>
        <v>1400</v>
      </c>
      <c r="C32" s="22" t="str">
        <f aca="false">'cronograma-csv'!B27</f>
        <v>Epic</v>
      </c>
      <c r="D32" s="23" t="str">
        <f aca="false">'cronograma-csv'!C27</f>
        <v>Suprimentos e controle de acesso</v>
      </c>
      <c r="E32" s="22" t="n">
        <f aca="false">IF(C32="Epic",B32,IF(C32="Story",'cronograma-csv'!E27,INDEX('cronograma-csv'!$E$2:$E$40,MATCH('cronograma-csv'!F27,'cronograma-csv'!$A$2:$A$40,0))))</f>
        <v>1400</v>
      </c>
      <c r="F32" s="23" t="str">
        <f aca="false">INDEX($D$7:$D$45,MATCH(E32,$B$7:$B$45,0))</f>
        <v>Suprimentos e controle de acesso</v>
      </c>
      <c r="G32" s="23" t="str">
        <f aca="false">IF('cronograma-csv'!G27&lt;&gt;"",'cronograma-csv'!G27,IFERROR(INDEX('cronograma-csv'!$G$2:$G$40,MATCH(B32,'cronograma-csv'!$E$2:$E$40,0)),"—"))</f>
        <v>S05 - Suprimentos e segurança</v>
      </c>
      <c r="H32" s="23" t="str">
        <f aca="false">'cronograma-csv'!H27</f>
        <v>Segurança</v>
      </c>
      <c r="I32" s="23" t="str">
        <f aca="false">'cronograma-csv'!I27</f>
        <v>2 a 3 semanas</v>
      </c>
      <c r="J32" s="22" t="n">
        <f aca="false">VALUE(LEFT(I32,FIND(" ",I32)-1))*IF(ISNUMBER(SEARCH("semana",I32)),DIAS_SEMANA,1)</f>
        <v>14</v>
      </c>
      <c r="K32" s="22" t="n">
        <f aca="false">IF(ISNUMBER(SEARCH(" a ",I32)),VALUE(MID(I32,FIND(" a ",I32)+3,FIND(" ",I32,FIND(" a ",I32)+3)-FIND(" a ",I32)-3)),VALUE(LEFT(I32,FIND(" ",I32)-1)))*IF(ISNUMBER(SEARCH("semana",I32)),DIAS_SEMANA,1)</f>
        <v>21</v>
      </c>
      <c r="L32" s="24" t="n">
        <f aca="false">(J32+K32)/2</f>
        <v>17.5</v>
      </c>
      <c r="M32" s="25" t="n">
        <f aca="false">_xlfn.MINIFS(M33:M$45,E33:E$45,B32)</f>
        <v>46317</v>
      </c>
      <c r="N32" s="25" t="n">
        <f aca="false">_xlfn.MAXIFS(N33:N$45,E33:E$45,B32)</f>
        <v>46320</v>
      </c>
      <c r="O32" s="22" t="str">
        <f aca="false">IF(COUNTIFS(E33:E$45,B32,O33:O$45,"Bloqueado")&gt;0,"Bloqueado",IF(COUNTIFS(E33:E$45,B32,O33:O$45,"Concluído")=COUNTIF(E33:E$45,B32),"Concluído",IF(COUNTIFS(E33:E$45,B32,O33:O$45,"A fazer")=COUNTIF(E33:E$45,B32),"A fazer","Em andamento")))</f>
        <v>Bloqueado</v>
      </c>
      <c r="P32" s="24" t="n">
        <f aca="false">IF(C32="Story",L32,0)</f>
        <v>0</v>
      </c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1"/>
    </row>
    <row r="33" customFormat="false" ht="19.5" hidden="false" customHeight="true" outlineLevel="0" collapsed="false">
      <c r="A33" s="1"/>
      <c r="B33" s="27" t="n">
        <f aca="false">'cronograma-csv'!A28</f>
        <v>1401</v>
      </c>
      <c r="C33" s="27" t="str">
        <f aca="false">'cronograma-csv'!B28</f>
        <v>Story</v>
      </c>
      <c r="D33" s="28" t="str">
        <f aca="false">'cronograma-csv'!C28</f>
        <v>Gerenciar produtos e pedidos</v>
      </c>
      <c r="E33" s="27" t="n">
        <f aca="false">IF(C33="Epic",B33,IF(C33="Story",'cronograma-csv'!E28,INDEX('cronograma-csv'!$E$2:$E$40,MATCH('cronograma-csv'!F28,'cronograma-csv'!$A$2:$A$40,0))))</f>
        <v>1400</v>
      </c>
      <c r="F33" s="28" t="str">
        <f aca="false">INDEX($D$7:$D$45,MATCH(E33,$B$7:$B$45,0))</f>
        <v>Suprimentos e controle de acesso</v>
      </c>
      <c r="G33" s="28" t="str">
        <f aca="false">IF('cronograma-csv'!G28&lt;&gt;"",'cronograma-csv'!G28,IFERROR(INDEX('cronograma-csv'!$G$2:$G$40,MATCH(B33,'cronograma-csv'!$E$2:$E$40,0)),"—"))</f>
        <v>S05 - Suprimentos e segurança</v>
      </c>
      <c r="H33" s="28" t="str">
        <f aca="false">'cronograma-csv'!H28</f>
        <v>Frontend</v>
      </c>
      <c r="I33" s="28" t="str">
        <f aca="false">'cronograma-csv'!I28</f>
        <v>3 a 4 dias</v>
      </c>
      <c r="J33" s="27" t="n">
        <f aca="false">VALUE(LEFT(I33,FIND(" ",I33)-1))*IF(ISNUMBER(SEARCH("semana",I33)),DIAS_SEMANA,1)</f>
        <v>3</v>
      </c>
      <c r="K33" s="27" t="n">
        <f aca="false">IF(ISNUMBER(SEARCH(" a ",I33)),VALUE(MID(I33,FIND(" a ",I33)+3,FIND(" ",I33,FIND(" a ",I33)+3)-FIND(" a ",I33)-3)),VALUE(LEFT(I33,FIND(" ",I33)-1)))*IF(ISNUMBER(SEARCH("semana",I33)),DIAS_SEMANA,1)</f>
        <v>4</v>
      </c>
      <c r="L33" s="29" t="n">
        <f aca="false">(J33+K33)/2</f>
        <v>3.5</v>
      </c>
      <c r="M33" s="30" t="n">
        <f aca="false">'cronograma-csv'!J28</f>
        <v>46317</v>
      </c>
      <c r="N33" s="30" t="n">
        <f aca="false">M33+MAX(1,ROUNDUP(L33,0))-1</f>
        <v>46320</v>
      </c>
      <c r="O33" s="20" t="s">
        <v>14</v>
      </c>
      <c r="P33" s="29" t="n">
        <f aca="false">IF(C33="Story",L33,0)</f>
        <v>3.5</v>
      </c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1"/>
    </row>
    <row r="34" customFormat="false" ht="19.5" hidden="false" customHeight="true" outlineLevel="0" collapsed="false">
      <c r="A34" s="1"/>
      <c r="B34" s="27" t="n">
        <f aca="false">'cronograma-csv'!A29</f>
        <v>1402</v>
      </c>
      <c r="C34" s="27" t="str">
        <f aca="false">'cronograma-csv'!B29</f>
        <v>Sub-task</v>
      </c>
      <c r="D34" s="28" t="str">
        <f aca="false">'cronograma-csv'!C29</f>
        <v>Integrar fluxo de suprimentos à API</v>
      </c>
      <c r="E34" s="27" t="n">
        <f aca="false">IF(C34="Epic",B34,IF(C34="Story",'cronograma-csv'!E29,INDEX('cronograma-csv'!$E$2:$E$40,MATCH('cronograma-csv'!F29,'cronograma-csv'!$A$2:$A$40,0))))</f>
        <v>1400</v>
      </c>
      <c r="F34" s="28" t="str">
        <f aca="false">INDEX($D$7:$D$45,MATCH(E34,$B$7:$B$45,0))</f>
        <v>Suprimentos e controle de acesso</v>
      </c>
      <c r="G34" s="28" t="str">
        <f aca="false">IF('cronograma-csv'!G29&lt;&gt;"",'cronograma-csv'!G29,IFERROR(INDEX('cronograma-csv'!$G$2:$G$40,MATCH(B34,'cronograma-csv'!$E$2:$E$40,0)),"—"))</f>
        <v>S05 - Suprimentos e segurança</v>
      </c>
      <c r="H34" s="28" t="str">
        <f aca="false">'cronograma-csv'!H29</f>
        <v>Backend</v>
      </c>
      <c r="I34" s="28" t="str">
        <f aca="false">'cronograma-csv'!I29</f>
        <v>2 dias</v>
      </c>
      <c r="J34" s="27" t="n">
        <f aca="false">VALUE(LEFT(I34,FIND(" ",I34)-1))*IF(ISNUMBER(SEARCH("semana",I34)),DIAS_SEMANA,1)</f>
        <v>2</v>
      </c>
      <c r="K34" s="27" t="n">
        <f aca="false">IF(ISNUMBER(SEARCH(" a ",I34)),VALUE(MID(I34,FIND(" a ",I34)+3,FIND(" ",I34,FIND(" a ",I34)+3)-FIND(" a ",I34)-3)),VALUE(LEFT(I34,FIND(" ",I34)-1)))*IF(ISNUMBER(SEARCH("semana",I34)),DIAS_SEMANA,1)</f>
        <v>2</v>
      </c>
      <c r="L34" s="29" t="n">
        <f aca="false">(J34+K34)/2</f>
        <v>2</v>
      </c>
      <c r="M34" s="30" t="n">
        <f aca="false">'cronograma-csv'!J29</f>
        <v>46318</v>
      </c>
      <c r="N34" s="30" t="n">
        <f aca="false">M34+MAX(1,ROUNDUP(L34,0))-1</f>
        <v>46319</v>
      </c>
      <c r="O34" s="20" t="s">
        <v>14</v>
      </c>
      <c r="P34" s="29" t="n">
        <f aca="false">IF(C34="Story",L34,0)</f>
        <v>0</v>
      </c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1"/>
    </row>
    <row r="35" customFormat="false" ht="19.5" hidden="false" customHeight="true" outlineLevel="0" collapsed="false">
      <c r="A35" s="1"/>
      <c r="B35" s="27" t="n">
        <f aca="false">'cronograma-csv'!A30</f>
        <v>1403</v>
      </c>
      <c r="C35" s="27" t="str">
        <f aca="false">'cronograma-csv'!B30</f>
        <v>Story</v>
      </c>
      <c r="D35" s="28" t="str">
        <f aca="false">'cronograma-csv'!C30</f>
        <v>Proteger operações administrativas com autenticação</v>
      </c>
      <c r="E35" s="27" t="n">
        <f aca="false">IF(C35="Epic",B35,IF(C35="Story",'cronograma-csv'!E30,INDEX('cronograma-csv'!$E$2:$E$40,MATCH('cronograma-csv'!F30,'cronograma-csv'!$A$2:$A$40,0))))</f>
        <v>1400</v>
      </c>
      <c r="F35" s="28" t="str">
        <f aca="false">INDEX($D$7:$D$45,MATCH(E35,$B$7:$B$45,0))</f>
        <v>Suprimentos e controle de acesso</v>
      </c>
      <c r="G35" s="28" t="str">
        <f aca="false">IF('cronograma-csv'!G30&lt;&gt;"",'cronograma-csv'!G30,IFERROR(INDEX('cronograma-csv'!$G$2:$G$40,MATCH(B35,'cronograma-csv'!$E$2:$E$40,0)),"—"))</f>
        <v>S05 - Suprimentos e segurança</v>
      </c>
      <c r="H35" s="28" t="str">
        <f aca="false">'cronograma-csv'!H30</f>
        <v>Segurança</v>
      </c>
      <c r="I35" s="28" t="str">
        <f aca="false">'cronograma-csv'!I30</f>
        <v>3 a 5 dias</v>
      </c>
      <c r="J35" s="27" t="n">
        <f aca="false">VALUE(LEFT(I35,FIND(" ",I35)-1))*IF(ISNUMBER(SEARCH("semana",I35)),DIAS_SEMANA,1)</f>
        <v>3</v>
      </c>
      <c r="K35" s="27" t="n">
        <f aca="false">IF(ISNUMBER(SEARCH(" a ",I35)),VALUE(MID(I35,FIND(" a ",I35)+3,FIND(" ",I35,FIND(" a ",I35)+3)-FIND(" a ",I35)-3)),VALUE(LEFT(I35,FIND(" ",I35)-1)))*IF(ISNUMBER(SEARCH("semana",I35)),DIAS_SEMANA,1)</f>
        <v>5</v>
      </c>
      <c r="L35" s="29" t="n">
        <f aca="false">(J35+K35)/2</f>
        <v>4</v>
      </c>
      <c r="M35" s="30" t="n">
        <f aca="false">'cronograma-csv'!J30</f>
        <v>46317</v>
      </c>
      <c r="N35" s="30" t="n">
        <f aca="false">M35+MAX(1,ROUNDUP(L35,0))-1</f>
        <v>46320</v>
      </c>
      <c r="O35" s="20" t="s">
        <v>14</v>
      </c>
      <c r="P35" s="29" t="n">
        <f aca="false">IF(C35="Story",L35,0)</f>
        <v>4</v>
      </c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1"/>
    </row>
    <row r="36" customFormat="false" ht="19.5" hidden="false" customHeight="true" outlineLevel="0" collapsed="false">
      <c r="A36" s="1"/>
      <c r="B36" s="27" t="n">
        <f aca="false">'cronograma-csv'!A31</f>
        <v>1404</v>
      </c>
      <c r="C36" s="27" t="str">
        <f aca="false">'cronograma-csv'!B31</f>
        <v>Sub-task</v>
      </c>
      <c r="D36" s="28" t="str">
        <f aca="false">'cronograma-csv'!C31</f>
        <v>Aplicar autorização e controle de sessão</v>
      </c>
      <c r="E36" s="27" t="n">
        <f aca="false">IF(C36="Epic",B36,IF(C36="Story",'cronograma-csv'!E31,INDEX('cronograma-csv'!$E$2:$E$40,MATCH('cronograma-csv'!F31,'cronograma-csv'!$A$2:$A$40,0))))</f>
        <v>1400</v>
      </c>
      <c r="F36" s="28" t="str">
        <f aca="false">INDEX($D$7:$D$45,MATCH(E36,$B$7:$B$45,0))</f>
        <v>Suprimentos e controle de acesso</v>
      </c>
      <c r="G36" s="28" t="str">
        <f aca="false">IF('cronograma-csv'!G31&lt;&gt;"",'cronograma-csv'!G31,IFERROR(INDEX('cronograma-csv'!$G$2:$G$40,MATCH(B36,'cronograma-csv'!$E$2:$E$40,0)),"—"))</f>
        <v>S05 - Suprimentos e segurança</v>
      </c>
      <c r="H36" s="28" t="str">
        <f aca="false">'cronograma-csv'!H31</f>
        <v>Segurança</v>
      </c>
      <c r="I36" s="28" t="str">
        <f aca="false">'cronograma-csv'!I31</f>
        <v>2 dias</v>
      </c>
      <c r="J36" s="27" t="n">
        <f aca="false">VALUE(LEFT(I36,FIND(" ",I36)-1))*IF(ISNUMBER(SEARCH("semana",I36)),DIAS_SEMANA,1)</f>
        <v>2</v>
      </c>
      <c r="K36" s="27" t="n">
        <f aca="false">IF(ISNUMBER(SEARCH(" a ",I36)),VALUE(MID(I36,FIND(" a ",I36)+3,FIND(" ",I36,FIND(" a ",I36)+3)-FIND(" a ",I36)-3)),VALUE(LEFT(I36,FIND(" ",I36)-1)))*IF(ISNUMBER(SEARCH("semana",I36)),DIAS_SEMANA,1)</f>
        <v>2</v>
      </c>
      <c r="L36" s="29" t="n">
        <f aca="false">(J36+K36)/2</f>
        <v>2</v>
      </c>
      <c r="M36" s="30" t="n">
        <f aca="false">'cronograma-csv'!J31</f>
        <v>46318</v>
      </c>
      <c r="N36" s="30" t="n">
        <f aca="false">M36+MAX(1,ROUNDUP(L36,0))-1</f>
        <v>46319</v>
      </c>
      <c r="O36" s="20" t="s">
        <v>14</v>
      </c>
      <c r="P36" s="29" t="n">
        <f aca="false">IF(C36="Story",L36,0)</f>
        <v>0</v>
      </c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1"/>
    </row>
    <row r="37" customFormat="false" ht="19.5" hidden="false" customHeight="true" outlineLevel="0" collapsed="false">
      <c r="A37" s="1"/>
      <c r="B37" s="27" t="n">
        <f aca="false">'cronograma-csv'!A32</f>
        <v>1405</v>
      </c>
      <c r="C37" s="27" t="str">
        <f aca="false">'cronograma-csv'!B32</f>
        <v>Story</v>
      </c>
      <c r="D37" s="28" t="str">
        <f aca="false">'cronograma-csv'!C32</f>
        <v>Integrar automações e auditoria</v>
      </c>
      <c r="E37" s="27" t="n">
        <f aca="false">IF(C37="Epic",B37,IF(C37="Story",'cronograma-csv'!E32,INDEX('cronograma-csv'!$E$2:$E$40,MATCH('cronograma-csv'!F32,'cronograma-csv'!$A$2:$A$40,0))))</f>
        <v>1400</v>
      </c>
      <c r="F37" s="28" t="str">
        <f aca="false">INDEX($D$7:$D$45,MATCH(E37,$B$7:$B$45,0))</f>
        <v>Suprimentos e controle de acesso</v>
      </c>
      <c r="G37" s="28" t="str">
        <f aca="false">IF('cronograma-csv'!G32&lt;&gt;"",'cronograma-csv'!G32,IFERROR(INDEX('cronograma-csv'!$G$2:$G$40,MATCH(B37,'cronograma-csv'!$E$2:$E$40,0)),"—"))</f>
        <v>S05 - Suprimentos e segurança</v>
      </c>
      <c r="H37" s="28" t="str">
        <f aca="false">'cronograma-csv'!H32</f>
        <v>Integrações</v>
      </c>
      <c r="I37" s="28" t="str">
        <f aca="false">'cronograma-csv'!I32</f>
        <v>3 a 4 dias</v>
      </c>
      <c r="J37" s="27" t="n">
        <f aca="false">VALUE(LEFT(I37,FIND(" ",I37)-1))*IF(ISNUMBER(SEARCH("semana",I37)),DIAS_SEMANA,1)</f>
        <v>3</v>
      </c>
      <c r="K37" s="27" t="n">
        <f aca="false">IF(ISNUMBER(SEARCH(" a ",I37)),VALUE(MID(I37,FIND(" a ",I37)+3,FIND(" ",I37,FIND(" a ",I37)+3)-FIND(" a ",I37)-3)),VALUE(LEFT(I37,FIND(" ",I37)-1)))*IF(ISNUMBER(SEARCH("semana",I37)),DIAS_SEMANA,1)</f>
        <v>4</v>
      </c>
      <c r="L37" s="29" t="n">
        <f aca="false">(J37+K37)/2</f>
        <v>3.5</v>
      </c>
      <c r="M37" s="30" t="n">
        <f aca="false">'cronograma-csv'!J32</f>
        <v>46317</v>
      </c>
      <c r="N37" s="30" t="n">
        <f aca="false">M37+MAX(1,ROUNDUP(L37,0))-1</f>
        <v>46320</v>
      </c>
      <c r="O37" s="20" t="s">
        <v>16</v>
      </c>
      <c r="P37" s="29" t="n">
        <f aca="false">IF(C37="Story",L37,0)</f>
        <v>3.5</v>
      </c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1"/>
    </row>
    <row r="38" customFormat="false" ht="19.5" hidden="false" customHeight="true" outlineLevel="0" collapsed="false">
      <c r="A38" s="1"/>
      <c r="B38" s="27" t="n">
        <f aca="false">'cronograma-csv'!A33</f>
        <v>1406</v>
      </c>
      <c r="C38" s="27" t="str">
        <f aca="false">'cronograma-csv'!B33</f>
        <v>Sub-task</v>
      </c>
      <c r="D38" s="28" t="str">
        <f aca="false">'cronograma-csv'!C33</f>
        <v>Validar integração e registros de eventos</v>
      </c>
      <c r="E38" s="27" t="n">
        <f aca="false">IF(C38="Epic",B38,IF(C38="Story",'cronograma-csv'!E33,INDEX('cronograma-csv'!$E$2:$E$40,MATCH('cronograma-csv'!F33,'cronograma-csv'!$A$2:$A$40,0))))</f>
        <v>1400</v>
      </c>
      <c r="F38" s="28" t="str">
        <f aca="false">INDEX($D$7:$D$45,MATCH(E38,$B$7:$B$45,0))</f>
        <v>Suprimentos e controle de acesso</v>
      </c>
      <c r="G38" s="28" t="str">
        <f aca="false">IF('cronograma-csv'!G33&lt;&gt;"",'cronograma-csv'!G33,IFERROR(INDEX('cronograma-csv'!$G$2:$G$40,MATCH(B38,'cronograma-csv'!$E$2:$E$40,0)),"—"))</f>
        <v>S05 - Suprimentos e segurança</v>
      </c>
      <c r="H38" s="28" t="str">
        <f aca="false">'cronograma-csv'!H33</f>
        <v>Qualidade</v>
      </c>
      <c r="I38" s="28" t="str">
        <f aca="false">'cronograma-csv'!I33</f>
        <v>1 a 2 dias</v>
      </c>
      <c r="J38" s="27" t="n">
        <f aca="false">VALUE(LEFT(I38,FIND(" ",I38)-1))*IF(ISNUMBER(SEARCH("semana",I38)),DIAS_SEMANA,1)</f>
        <v>1</v>
      </c>
      <c r="K38" s="27" t="n">
        <f aca="false">IF(ISNUMBER(SEARCH(" a ",I38)),VALUE(MID(I38,FIND(" a ",I38)+3,FIND(" ",I38,FIND(" a ",I38)+3)-FIND(" a ",I38)-3)),VALUE(LEFT(I38,FIND(" ",I38)-1)))*IF(ISNUMBER(SEARCH("semana",I38)),DIAS_SEMANA,1)</f>
        <v>2</v>
      </c>
      <c r="L38" s="29" t="n">
        <f aca="false">(J38+K38)/2</f>
        <v>1.5</v>
      </c>
      <c r="M38" s="30" t="n">
        <f aca="false">'cronograma-csv'!J33</f>
        <v>46318</v>
      </c>
      <c r="N38" s="30" t="n">
        <f aca="false">M38+MAX(1,ROUNDUP(L38,0))-1</f>
        <v>46319</v>
      </c>
      <c r="O38" s="20" t="s">
        <v>16</v>
      </c>
      <c r="P38" s="29" t="n">
        <f aca="false">IF(C38="Story",L38,0)</f>
        <v>0</v>
      </c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1"/>
    </row>
    <row r="39" customFormat="false" ht="19.5" hidden="false" customHeight="true" outlineLevel="0" collapsed="false">
      <c r="A39" s="1"/>
      <c r="B39" s="22" t="n">
        <f aca="false">'cronograma-csv'!A34</f>
        <v>1500</v>
      </c>
      <c r="C39" s="22" t="str">
        <f aca="false">'cronograma-csv'!B34</f>
        <v>Epic</v>
      </c>
      <c r="D39" s="23" t="str">
        <f aca="false">'cronograma-csv'!C34</f>
        <v>Qualidade, publicação e documentação</v>
      </c>
      <c r="E39" s="22" t="n">
        <f aca="false">IF(C39="Epic",B39,IF(C39="Story",'cronograma-csv'!E34,INDEX('cronograma-csv'!$E$2:$E$40,MATCH('cronograma-csv'!F34,'cronograma-csv'!$A$2:$A$40,0))))</f>
        <v>1500</v>
      </c>
      <c r="F39" s="23" t="str">
        <f aca="false">INDEX($D$7:$D$45,MATCH(E39,$B$7:$B$45,0))</f>
        <v>Qualidade, publicação e documentação</v>
      </c>
      <c r="G39" s="23" t="str">
        <f aca="false">IF('cronograma-csv'!G34&lt;&gt;"",'cronograma-csv'!G34,IFERROR(INDEX('cronograma-csv'!$G$2:$G$40,MATCH(B39,'cronograma-csv'!$E$2:$E$40,0)),"—"))</f>
        <v>S06 - Validação e entrega</v>
      </c>
      <c r="H39" s="23" t="str">
        <f aca="false">'cronograma-csv'!H34</f>
        <v>DevOps e Qualidade</v>
      </c>
      <c r="I39" s="23" t="str">
        <f aca="false">'cronograma-csv'!I34</f>
        <v>2 semanas</v>
      </c>
      <c r="J39" s="22" t="n">
        <f aca="false">VALUE(LEFT(I39,FIND(" ",I39)-1))*IF(ISNUMBER(SEARCH("semana",I39)),DIAS_SEMANA,1)</f>
        <v>14</v>
      </c>
      <c r="K39" s="22" t="n">
        <f aca="false">IF(ISNUMBER(SEARCH(" a ",I39)),VALUE(MID(I39,FIND(" a ",I39)+3,FIND(" ",I39,FIND(" a ",I39)+3)-FIND(" a ",I39)-3)),VALUE(LEFT(I39,FIND(" ",I39)-1)))*IF(ISNUMBER(SEARCH("semana",I39)),DIAS_SEMANA,1)</f>
        <v>14</v>
      </c>
      <c r="L39" s="24" t="n">
        <f aca="false">(J39+K39)/2</f>
        <v>14</v>
      </c>
      <c r="M39" s="25" t="n">
        <f aca="false">_xlfn.MINIFS(M40:M$45,E40:E$45,B39)</f>
        <v>46320</v>
      </c>
      <c r="N39" s="25" t="n">
        <f aca="false">_xlfn.MAXIFS(N40:N$45,E40:E$45,B39)</f>
        <v>46323</v>
      </c>
      <c r="O39" s="22" t="str">
        <f aca="false">IF(COUNTIFS(E40:E$45,B39,O40:O$45,"Bloqueado")&gt;0,"Bloqueado",IF(COUNTIFS(E40:E$45,B39,O40:O$45,"Concluído")=COUNTIF(E40:E$45,B39),"Concluído",IF(COUNTIFS(E40:E$45,B39,O40:O$45,"A fazer")=COUNTIF(E40:E$45,B39),"A fazer","Em andamento")))</f>
        <v>Em andamento</v>
      </c>
      <c r="P39" s="24" t="n">
        <f aca="false">IF(C39="Story",L39,0)</f>
        <v>0</v>
      </c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1"/>
    </row>
    <row r="40" customFormat="false" ht="19.5" hidden="false" customHeight="true" outlineLevel="0" collapsed="false">
      <c r="A40" s="1"/>
      <c r="B40" s="27" t="n">
        <f aca="false">'cronograma-csv'!A35</f>
        <v>1501</v>
      </c>
      <c r="C40" s="27" t="str">
        <f aca="false">'cronograma-csv'!B35</f>
        <v>Story</v>
      </c>
      <c r="D40" s="28" t="str">
        <f aca="false">'cronograma-csv'!C35</f>
        <v>Executar testes de integração e aceitação</v>
      </c>
      <c r="E40" s="27" t="n">
        <f aca="false">IF(C40="Epic",B40,IF(C40="Story",'cronograma-csv'!E35,INDEX('cronograma-csv'!$E$2:$E$40,MATCH('cronograma-csv'!F35,'cronograma-csv'!$A$2:$A$40,0))))</f>
        <v>1500</v>
      </c>
      <c r="F40" s="28" t="str">
        <f aca="false">INDEX($D$7:$D$45,MATCH(E40,$B$7:$B$45,0))</f>
        <v>Qualidade, publicação e documentação</v>
      </c>
      <c r="G40" s="28" t="str">
        <f aca="false">IF('cronograma-csv'!G35&lt;&gt;"",'cronograma-csv'!G35,IFERROR(INDEX('cronograma-csv'!$G$2:$G$40,MATCH(B40,'cronograma-csv'!$E$2:$E$40,0)),"—"))</f>
        <v>S06 - Validação e entrega</v>
      </c>
      <c r="H40" s="28" t="str">
        <f aca="false">'cronograma-csv'!H35</f>
        <v>Qualidade</v>
      </c>
      <c r="I40" s="28" t="str">
        <f aca="false">'cronograma-csv'!I35</f>
        <v>3 a 4 dias</v>
      </c>
      <c r="J40" s="27" t="n">
        <f aca="false">VALUE(LEFT(I40,FIND(" ",I40)-1))*IF(ISNUMBER(SEARCH("semana",I40)),DIAS_SEMANA,1)</f>
        <v>3</v>
      </c>
      <c r="K40" s="27" t="n">
        <f aca="false">IF(ISNUMBER(SEARCH(" a ",I40)),VALUE(MID(I40,FIND(" a ",I40)+3,FIND(" ",I40,FIND(" a ",I40)+3)-FIND(" a ",I40)-3)),VALUE(LEFT(I40,FIND(" ",I40)-1)))*IF(ISNUMBER(SEARCH("semana",I40)),DIAS_SEMANA,1)</f>
        <v>4</v>
      </c>
      <c r="L40" s="29" t="n">
        <f aca="false">(J40+K40)/2</f>
        <v>3.5</v>
      </c>
      <c r="M40" s="30" t="n">
        <f aca="false">'cronograma-csv'!J35</f>
        <v>46320</v>
      </c>
      <c r="N40" s="30" t="n">
        <f aca="false">M40+MAX(1,ROUNDUP(L40,0))-1</f>
        <v>46323</v>
      </c>
      <c r="O40" s="20" t="s">
        <v>15</v>
      </c>
      <c r="P40" s="29" t="n">
        <f aca="false">IF(C40="Story",L40,0)</f>
        <v>3.5</v>
      </c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1"/>
    </row>
    <row r="41" customFormat="false" ht="19.5" hidden="false" customHeight="true" outlineLevel="0" collapsed="false">
      <c r="A41" s="1"/>
      <c r="B41" s="27" t="n">
        <f aca="false">'cronograma-csv'!A36</f>
        <v>1502</v>
      </c>
      <c r="C41" s="27" t="str">
        <f aca="false">'cronograma-csv'!B36</f>
        <v>Sub-task</v>
      </c>
      <c r="D41" s="28" t="str">
        <f aca="false">'cronograma-csv'!C36</f>
        <v>Tratar erros da API e mensagens ao usuário</v>
      </c>
      <c r="E41" s="27" t="n">
        <f aca="false">IF(C41="Epic",B41,IF(C41="Story",'cronograma-csv'!E36,INDEX('cronograma-csv'!$E$2:$E$40,MATCH('cronograma-csv'!F36,'cronograma-csv'!$A$2:$A$40,0))))</f>
        <v>1500</v>
      </c>
      <c r="F41" s="28" t="str">
        <f aca="false">INDEX($D$7:$D$45,MATCH(E41,$B$7:$B$45,0))</f>
        <v>Qualidade, publicação e documentação</v>
      </c>
      <c r="G41" s="28" t="str">
        <f aca="false">IF('cronograma-csv'!G36&lt;&gt;"",'cronograma-csv'!G36,IFERROR(INDEX('cronograma-csv'!$G$2:$G$40,MATCH(B41,'cronograma-csv'!$E$2:$E$40,0)),"—"))</f>
        <v>S06 - Validação e entrega</v>
      </c>
      <c r="H41" s="28" t="str">
        <f aca="false">'cronograma-csv'!H36</f>
        <v>Frontend</v>
      </c>
      <c r="I41" s="28" t="str">
        <f aca="false">'cronograma-csv'!I36</f>
        <v>1 a 2 dias</v>
      </c>
      <c r="J41" s="27" t="n">
        <f aca="false">VALUE(LEFT(I41,FIND(" ",I41)-1))*IF(ISNUMBER(SEARCH("semana",I41)),DIAS_SEMANA,1)</f>
        <v>1</v>
      </c>
      <c r="K41" s="27" t="n">
        <f aca="false">IF(ISNUMBER(SEARCH(" a ",I41)),VALUE(MID(I41,FIND(" a ",I41)+3,FIND(" ",I41,FIND(" a ",I41)+3)-FIND(" a ",I41)-3)),VALUE(LEFT(I41,FIND(" ",I41)-1)))*IF(ISNUMBER(SEARCH("semana",I41)),DIAS_SEMANA,1)</f>
        <v>2</v>
      </c>
      <c r="L41" s="29" t="n">
        <f aca="false">(J41+K41)/2</f>
        <v>1.5</v>
      </c>
      <c r="M41" s="30" t="n">
        <f aca="false">'cronograma-csv'!J36</f>
        <v>46321</v>
      </c>
      <c r="N41" s="30" t="n">
        <f aca="false">M41+MAX(1,ROUNDUP(L41,0))-1</f>
        <v>46322</v>
      </c>
      <c r="O41" s="20" t="s">
        <v>15</v>
      </c>
      <c r="P41" s="29" t="n">
        <f aca="false">IF(C41="Story",L41,0)</f>
        <v>0</v>
      </c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1"/>
    </row>
    <row r="42" customFormat="false" ht="19.5" hidden="false" customHeight="true" outlineLevel="0" collapsed="false">
      <c r="A42" s="1"/>
      <c r="B42" s="27" t="n">
        <f aca="false">'cronograma-csv'!A37</f>
        <v>1503</v>
      </c>
      <c r="C42" s="27" t="str">
        <f aca="false">'cronograma-csv'!B37</f>
        <v>Story</v>
      </c>
      <c r="D42" s="28" t="str">
        <f aca="false">'cronograma-csv'!C37</f>
        <v>Preparar publicação dos serviços</v>
      </c>
      <c r="E42" s="27" t="n">
        <f aca="false">IF(C42="Epic",B42,IF(C42="Story",'cronograma-csv'!E37,INDEX('cronograma-csv'!$E$2:$E$40,MATCH('cronograma-csv'!F37,'cronograma-csv'!$A$2:$A$40,0))))</f>
        <v>1500</v>
      </c>
      <c r="F42" s="28" t="str">
        <f aca="false">INDEX($D$7:$D$45,MATCH(E42,$B$7:$B$45,0))</f>
        <v>Qualidade, publicação e documentação</v>
      </c>
      <c r="G42" s="28" t="str">
        <f aca="false">IF('cronograma-csv'!G37&lt;&gt;"",'cronograma-csv'!G37,IFERROR(INDEX('cronograma-csv'!$G$2:$G$40,MATCH(B42,'cronograma-csv'!$E$2:$E$40,0)),"—"))</f>
        <v>S06 - Validação e entrega</v>
      </c>
      <c r="H42" s="28" t="str">
        <f aca="false">'cronograma-csv'!H37</f>
        <v>DevOps</v>
      </c>
      <c r="I42" s="28" t="str">
        <f aca="false">'cronograma-csv'!I37</f>
        <v>3 dias</v>
      </c>
      <c r="J42" s="27" t="n">
        <f aca="false">VALUE(LEFT(I42,FIND(" ",I42)-1))*IF(ISNUMBER(SEARCH("semana",I42)),DIAS_SEMANA,1)</f>
        <v>3</v>
      </c>
      <c r="K42" s="27" t="n">
        <f aca="false">IF(ISNUMBER(SEARCH(" a ",I42)),VALUE(MID(I42,FIND(" a ",I42)+3,FIND(" ",I42,FIND(" a ",I42)+3)-FIND(" a ",I42)-3)),VALUE(LEFT(I42,FIND(" ",I42)-1)))*IF(ISNUMBER(SEARCH("semana",I42)),DIAS_SEMANA,1)</f>
        <v>3</v>
      </c>
      <c r="L42" s="29" t="n">
        <f aca="false">(J42+K42)/2</f>
        <v>3</v>
      </c>
      <c r="M42" s="30" t="n">
        <f aca="false">'cronograma-csv'!J37</f>
        <v>46320</v>
      </c>
      <c r="N42" s="30" t="n">
        <f aca="false">M42+MAX(1,ROUNDUP(L42,0))-1</f>
        <v>46322</v>
      </c>
      <c r="O42" s="20" t="s">
        <v>14</v>
      </c>
      <c r="P42" s="29" t="n">
        <f aca="false">IF(C42="Story",L42,0)</f>
        <v>3</v>
      </c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1"/>
    </row>
    <row r="43" customFormat="false" ht="19.5" hidden="false" customHeight="true" outlineLevel="0" collapsed="false">
      <c r="A43" s="1"/>
      <c r="B43" s="27" t="n">
        <f aca="false">'cronograma-csv'!A38</f>
        <v>1504</v>
      </c>
      <c r="C43" s="27" t="str">
        <f aca="false">'cronograma-csv'!B38</f>
        <v>Sub-task</v>
      </c>
      <c r="D43" s="28" t="str">
        <f aca="false">'cronograma-csv'!C38</f>
        <v>Verificar configuração e saúde após publicação</v>
      </c>
      <c r="E43" s="27" t="n">
        <f aca="false">IF(C43="Epic",B43,IF(C43="Story",'cronograma-csv'!E38,INDEX('cronograma-csv'!$E$2:$E$40,MATCH('cronograma-csv'!F38,'cronograma-csv'!$A$2:$A$40,0))))</f>
        <v>1500</v>
      </c>
      <c r="F43" s="28" t="str">
        <f aca="false">INDEX($D$7:$D$45,MATCH(E43,$B$7:$B$45,0))</f>
        <v>Qualidade, publicação e documentação</v>
      </c>
      <c r="G43" s="28" t="str">
        <f aca="false">IF('cronograma-csv'!G38&lt;&gt;"",'cronograma-csv'!G38,IFERROR(INDEX('cronograma-csv'!$G$2:$G$40,MATCH(B43,'cronograma-csv'!$E$2:$E$40,0)),"—"))</f>
        <v>S06 - Validação e entrega</v>
      </c>
      <c r="H43" s="28" t="str">
        <f aca="false">'cronograma-csv'!H38</f>
        <v>DevOps</v>
      </c>
      <c r="I43" s="28" t="str">
        <f aca="false">'cronograma-csv'!I38</f>
        <v>1 dia</v>
      </c>
      <c r="J43" s="27" t="n">
        <f aca="false">VALUE(LEFT(I43,FIND(" ",I43)-1))*IF(ISNUMBER(SEARCH("semana",I43)),DIAS_SEMANA,1)</f>
        <v>1</v>
      </c>
      <c r="K43" s="27" t="n">
        <f aca="false">IF(ISNUMBER(SEARCH(" a ",I43)),VALUE(MID(I43,FIND(" a ",I43)+3,FIND(" ",I43,FIND(" a ",I43)+3)-FIND(" a ",I43)-3)),VALUE(LEFT(I43,FIND(" ",I43)-1)))*IF(ISNUMBER(SEARCH("semana",I43)),DIAS_SEMANA,1)</f>
        <v>1</v>
      </c>
      <c r="L43" s="29" t="n">
        <f aca="false">(J43+K43)/2</f>
        <v>1</v>
      </c>
      <c r="M43" s="30" t="n">
        <f aca="false">'cronograma-csv'!J38</f>
        <v>46321</v>
      </c>
      <c r="N43" s="30" t="n">
        <f aca="false">M43+MAX(1,ROUNDUP(L43,0))-1</f>
        <v>46321</v>
      </c>
      <c r="O43" s="20" t="s">
        <v>15</v>
      </c>
      <c r="P43" s="29" t="n">
        <f aca="false">IF(C43="Story",L43,0)</f>
        <v>0</v>
      </c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1"/>
    </row>
    <row r="44" customFormat="false" ht="19.5" hidden="false" customHeight="true" outlineLevel="0" collapsed="false">
      <c r="A44" s="1"/>
      <c r="B44" s="27" t="n">
        <f aca="false">'cronograma-csv'!A39</f>
        <v>1505</v>
      </c>
      <c r="C44" s="27" t="str">
        <f aca="false">'cronograma-csv'!B39</f>
        <v>Story</v>
      </c>
      <c r="D44" s="28" t="str">
        <f aca="false">'cronograma-csv'!C39</f>
        <v>Concluir documentação e apresentação do produto</v>
      </c>
      <c r="E44" s="27" t="n">
        <f aca="false">IF(C44="Epic",B44,IF(C44="Story",'cronograma-csv'!E39,INDEX('cronograma-csv'!$E$2:$E$40,MATCH('cronograma-csv'!F39,'cronograma-csv'!$A$2:$A$40,0))))</f>
        <v>1500</v>
      </c>
      <c r="F44" s="28" t="str">
        <f aca="false">INDEX($D$7:$D$45,MATCH(E44,$B$7:$B$45,0))</f>
        <v>Qualidade, publicação e documentação</v>
      </c>
      <c r="G44" s="28" t="str">
        <f aca="false">IF('cronograma-csv'!G39&lt;&gt;"",'cronograma-csv'!G39,IFERROR(INDEX('cronograma-csv'!$G$2:$G$40,MATCH(B44,'cronograma-csv'!$E$2:$E$40,0)),"—"))</f>
        <v>S06 - Validação e entrega</v>
      </c>
      <c r="H44" s="28" t="str">
        <f aca="false">'cronograma-csv'!H39</f>
        <v>Documentação</v>
      </c>
      <c r="I44" s="28" t="str">
        <f aca="false">'cronograma-csv'!I39</f>
        <v>2 a 3 dias</v>
      </c>
      <c r="J44" s="27" t="n">
        <f aca="false">VALUE(LEFT(I44,FIND(" ",I44)-1))*IF(ISNUMBER(SEARCH("semana",I44)),DIAS_SEMANA,1)</f>
        <v>2</v>
      </c>
      <c r="K44" s="27" t="n">
        <f aca="false">IF(ISNUMBER(SEARCH(" a ",I44)),VALUE(MID(I44,FIND(" a ",I44)+3,FIND(" ",I44,FIND(" a ",I44)+3)-FIND(" a ",I44)-3)),VALUE(LEFT(I44,FIND(" ",I44)-1)))*IF(ISNUMBER(SEARCH("semana",I44)),DIAS_SEMANA,1)</f>
        <v>3</v>
      </c>
      <c r="L44" s="29" t="n">
        <f aca="false">(J44+K44)/2</f>
        <v>2.5</v>
      </c>
      <c r="M44" s="30" t="n">
        <f aca="false">'cronograma-csv'!J39</f>
        <v>46320</v>
      </c>
      <c r="N44" s="30" t="n">
        <f aca="false">M44+MAX(1,ROUNDUP(L44,0))-1</f>
        <v>46322</v>
      </c>
      <c r="O44" s="20" t="s">
        <v>15</v>
      </c>
      <c r="P44" s="29" t="n">
        <f aca="false">IF(C44="Story",L44,0)</f>
        <v>2.5</v>
      </c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1"/>
    </row>
    <row r="45" customFormat="false" ht="19.5" hidden="false" customHeight="true" outlineLevel="0" collapsed="false">
      <c r="A45" s="1"/>
      <c r="B45" s="27" t="n">
        <f aca="false">'cronograma-csv'!A40</f>
        <v>1506</v>
      </c>
      <c r="C45" s="27" t="str">
        <f aca="false">'cronograma-csv'!B40</f>
        <v>Sub-task</v>
      </c>
      <c r="D45" s="28" t="str">
        <f aca="false">'cronograma-csv'!C40</f>
        <v>Revisar conteúdo e materiais de entrega</v>
      </c>
      <c r="E45" s="27" t="n">
        <f aca="false">IF(C45="Epic",B45,IF(C45="Story",'cronograma-csv'!E40,INDEX('cronograma-csv'!$E$2:$E$40,MATCH('cronograma-csv'!F40,'cronograma-csv'!$A$2:$A$40,0))))</f>
        <v>1500</v>
      </c>
      <c r="F45" s="28" t="str">
        <f aca="false">INDEX($D$7:$D$45,MATCH(E45,$B$7:$B$45,0))</f>
        <v>Qualidade, publicação e documentação</v>
      </c>
      <c r="G45" s="28" t="str">
        <f aca="false">IF('cronograma-csv'!G40&lt;&gt;"",'cronograma-csv'!G40,IFERROR(INDEX('cronograma-csv'!$G$2:$G$40,MATCH(B45,'cronograma-csv'!$E$2:$E$40,0)),"—"))</f>
        <v>S06 - Validação e entrega</v>
      </c>
      <c r="H45" s="28" t="str">
        <f aca="false">'cronograma-csv'!H40</f>
        <v>Documentação</v>
      </c>
      <c r="I45" s="28" t="str">
        <f aca="false">'cronograma-csv'!I40</f>
        <v>1 a 2 dias</v>
      </c>
      <c r="J45" s="27" t="n">
        <f aca="false">VALUE(LEFT(I45,FIND(" ",I45)-1))*IF(ISNUMBER(SEARCH("semana",I45)),DIAS_SEMANA,1)</f>
        <v>1</v>
      </c>
      <c r="K45" s="27" t="n">
        <f aca="false">IF(ISNUMBER(SEARCH(" a ",I45)),VALUE(MID(I45,FIND(" a ",I45)+3,FIND(" ",I45,FIND(" a ",I45)+3)-FIND(" a ",I45)-3)),VALUE(LEFT(I45,FIND(" ",I45)-1)))*IF(ISNUMBER(SEARCH("semana",I45)),DIAS_SEMANA,1)</f>
        <v>2</v>
      </c>
      <c r="L45" s="29" t="n">
        <f aca="false">(J45+K45)/2</f>
        <v>1.5</v>
      </c>
      <c r="M45" s="30" t="n">
        <f aca="false">'cronograma-csv'!J40</f>
        <v>46321</v>
      </c>
      <c r="N45" s="30" t="n">
        <f aca="false">M45+MAX(1,ROUNDUP(L45,0))-1</f>
        <v>46322</v>
      </c>
      <c r="O45" s="20" t="s">
        <v>15</v>
      </c>
      <c r="P45" s="29" t="n">
        <f aca="false">IF(C45="Story",L45,0)</f>
        <v>0</v>
      </c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customFormat="false" ht="15" hidden="false" customHeight="false" outlineLevel="0" collapsed="false">
      <c r="A47" s="1"/>
      <c r="B47" s="11" t="s">
        <v>34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</sheetData>
  <mergeCells count="1">
    <mergeCell ref="I4:K4"/>
  </mergeCells>
  <conditionalFormatting sqref="Q7:AU45">
    <cfRule type="expression" priority="2" aboveAverage="0" equalAverage="0" bottom="0" percent="0" rank="0" text="" dxfId="0">
      <formula>AND(Q$6&gt;=$M7,Q$6&lt;=$N7,$O7="Concluído")</formula>
    </cfRule>
    <cfRule type="expression" priority="3" aboveAverage="0" equalAverage="0" bottom="0" percent="0" rank="0" text="" dxfId="1">
      <formula>AND(Q$6&gt;=$M7,Q$6&lt;=$N7,$O7="Em andamento")</formula>
    </cfRule>
    <cfRule type="expression" priority="4" aboveAverage="0" equalAverage="0" bottom="0" percent="0" rank="0" text="" dxfId="2">
      <formula>AND(Q$6&gt;=$M7,Q$6&lt;=$N7,$O7="Bloqueado")</formula>
    </cfRule>
    <cfRule type="expression" priority="5" aboveAverage="0" equalAverage="0" bottom="0" percent="0" rank="0" text="" dxfId="3">
      <formula>AND(Q$6&gt;=$M7,Q$6&lt;=$N7,$O7="A fazer")</formula>
    </cfRule>
    <cfRule type="expression" priority="6" aboveAverage="0" equalAverage="0" bottom="0" percent="0" rank="0" text="" dxfId="4">
      <formula>Q$6=Parâmetros!$F$5</formula>
    </cfRule>
  </conditionalFormatting>
  <conditionalFormatting sqref="Q6:AU6">
    <cfRule type="expression" priority="7" aboveAverage="0" equalAverage="0" bottom="0" percent="0" rank="0" text="" dxfId="5">
      <formula>Q$6=Parâmetros!$F$5</formula>
    </cfRule>
  </conditionalFormatting>
  <dataValidations count="1">
    <dataValidation allowBlank="false" errorStyle="stop" operator="between" showDropDown="false" showErrorMessage="false" showInputMessage="false" sqref="O8:O11 O13:O17 O19:O24 O26:O31 O33:O38 O40:O45" type="list">
      <formula1>"A fazer,Em andamento,Concluído,Bloqueado"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CC15"/>
    <pageSetUpPr fitToPage="true"/>
  </sheetPr>
  <dimension ref="A1:Q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0" min="8" style="0" width="16"/>
    <col collapsed="false" customWidth="true" hidden="false" outlineLevel="0" max="11" min="11" style="0" width="13"/>
  </cols>
  <sheetData>
    <row r="1" customFormat="false" ht="36" hidden="false" customHeight="true" outlineLevel="0" collapsed="false">
      <c r="A1" s="1"/>
      <c r="B1" s="2" t="s">
        <v>35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1"/>
      <c r="B2" s="3" t="s">
        <v>36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customFormat="false" ht="33.75" hidden="false" customHeight="true" outlineLevel="0" collapsed="false">
      <c r="A5" s="1"/>
      <c r="B5" s="20" t="s">
        <v>24</v>
      </c>
      <c r="C5" s="20" t="s">
        <v>37</v>
      </c>
      <c r="D5" s="20" t="s">
        <v>30</v>
      </c>
      <c r="E5" s="20" t="s">
        <v>31</v>
      </c>
      <c r="F5" s="20" t="s">
        <v>38</v>
      </c>
      <c r="G5" s="20" t="s">
        <v>39</v>
      </c>
      <c r="H5" s="20" t="s">
        <v>40</v>
      </c>
      <c r="I5" s="20" t="s">
        <v>41</v>
      </c>
      <c r="J5" s="20" t="s">
        <v>42</v>
      </c>
      <c r="K5" s="20" t="s">
        <v>43</v>
      </c>
      <c r="L5" s="1"/>
      <c r="M5" s="1"/>
      <c r="N5" s="1"/>
      <c r="O5" s="1"/>
      <c r="P5" s="1"/>
      <c r="Q5" s="1"/>
    </row>
    <row r="6" customFormat="false" ht="21.75" hidden="false" customHeight="true" outlineLevel="0" collapsed="false">
      <c r="A6" s="1"/>
      <c r="B6" s="31" t="str">
        <f aca="false">Parâmetros!A5</f>
        <v>S01 - Descoberta e fundação</v>
      </c>
      <c r="C6" s="31" t="str">
        <f aca="false">INDEX(Cronograma!$F$7:$F$45,MATCH(B6,Cronograma!$G$7:$G$45,0))</f>
        <v>Produto e arquitetura</v>
      </c>
      <c r="D6" s="32" t="n">
        <f aca="false">_xlfn.MINIFS(Cronograma!$M$7:$M$45,Cronograma!$G$7:$G$45,B6,Cronograma!$C$7:$C$45,"&lt;&gt;Epic")</f>
        <v>46296</v>
      </c>
      <c r="E6" s="32" t="n">
        <f aca="false">_xlfn.MAXIFS(Cronograma!$N$7:$N$45,Cronograma!$G$7:$G$45,B6,Cronograma!$C$7:$C$45,"&lt;&gt;Epic")</f>
        <v>46299</v>
      </c>
      <c r="F6" s="27" t="n">
        <f aca="false">COUNTIFS(Cronograma!$G$7:$G$45,B6,Cronograma!$C$7:$C$45,"&lt;&gt;Epic")</f>
        <v>4</v>
      </c>
      <c r="G6" s="27" t="n">
        <f aca="false">COUNTIFS(Cronograma!$G$7:$G$45,B6,Cronograma!$C$7:$C$45,"Story")</f>
        <v>2</v>
      </c>
      <c r="H6" s="29" t="n">
        <f aca="false">SUMIFS(Cronograma!$P$7:$P$45,Cronograma!$G$7:$G$45,B6)</f>
        <v>8</v>
      </c>
      <c r="I6" s="29" t="n">
        <f aca="false">SUMIFS(Cronograma!$P$7:$P$45,Cronograma!$G$7:$G$45,B6,Cronograma!$O$7:$O$45,"Concluído")</f>
        <v>8</v>
      </c>
      <c r="J6" s="29" t="n">
        <f aca="false">H6-I6</f>
        <v>0</v>
      </c>
      <c r="K6" s="33" t="n">
        <f aca="false">IF(H6=0,0,I6/H6)</f>
        <v>1</v>
      </c>
      <c r="L6" s="1"/>
      <c r="M6" s="1"/>
      <c r="N6" s="1"/>
      <c r="O6" s="1"/>
      <c r="P6" s="1"/>
      <c r="Q6" s="1"/>
    </row>
    <row r="7" customFormat="false" ht="21.75" hidden="false" customHeight="true" outlineLevel="0" collapsed="false">
      <c r="A7" s="1"/>
      <c r="B7" s="31" t="str">
        <f aca="false">Parâmetros!A6</f>
        <v>S02 - API e dados</v>
      </c>
      <c r="C7" s="31" t="str">
        <f aca="false">INDEX(Cronograma!$F$7:$F$45,MATCH(B7,Cronograma!$G$7:$G$45,0))</f>
        <v>API e persistência de dados</v>
      </c>
      <c r="D7" s="32" t="n">
        <f aca="false">_xlfn.MINIFS(Cronograma!$M$7:$M$45,Cronograma!$G$7:$G$45,B7,Cronograma!$C$7:$C$45,"&lt;&gt;Epic")</f>
        <v>46301</v>
      </c>
      <c r="E7" s="32" t="n">
        <f aca="false">_xlfn.MAXIFS(Cronograma!$N$7:$N$45,Cronograma!$G$7:$G$45,B7,Cronograma!$C$7:$C$45,"&lt;&gt;Epic")</f>
        <v>46305</v>
      </c>
      <c r="F7" s="27" t="n">
        <f aca="false">COUNTIFS(Cronograma!$G$7:$G$45,B7,Cronograma!$C$7:$C$45,"&lt;&gt;Epic")</f>
        <v>5</v>
      </c>
      <c r="G7" s="27" t="n">
        <f aca="false">COUNTIFS(Cronograma!$G$7:$G$45,B7,Cronograma!$C$7:$C$45,"Story")</f>
        <v>3</v>
      </c>
      <c r="H7" s="29" t="n">
        <f aca="false">SUMIFS(Cronograma!$P$7:$P$45,Cronograma!$G$7:$G$45,B7)</f>
        <v>12</v>
      </c>
      <c r="I7" s="29" t="n">
        <f aca="false">SUMIFS(Cronograma!$P$7:$P$45,Cronograma!$G$7:$G$45,B7,Cronograma!$O$7:$O$45,"Concluído")</f>
        <v>12</v>
      </c>
      <c r="J7" s="29" t="n">
        <f aca="false">H7-I7</f>
        <v>0</v>
      </c>
      <c r="K7" s="33" t="n">
        <f aca="false">IF(H7=0,0,I7/H7)</f>
        <v>1</v>
      </c>
      <c r="L7" s="1"/>
      <c r="M7" s="1"/>
      <c r="N7" s="1"/>
      <c r="O7" s="1"/>
      <c r="P7" s="1"/>
      <c r="Q7" s="1"/>
    </row>
    <row r="8" customFormat="false" ht="21.75" hidden="false" customHeight="true" outlineLevel="0" collapsed="false">
      <c r="A8" s="1"/>
      <c r="B8" s="31" t="str">
        <f aca="false">Parâmetros!A7</f>
        <v>S03 - Interface e cadastros</v>
      </c>
      <c r="C8" s="31" t="str">
        <f aca="false">INDEX(Cronograma!$F$7:$F$45,MATCH(B8,Cronograma!$G$7:$G$45,0))</f>
        <v>Interface e gestão educacional</v>
      </c>
      <c r="D8" s="32" t="n">
        <f aca="false">_xlfn.MINIFS(Cronograma!$M$7:$M$45,Cronograma!$G$7:$G$45,B8,Cronograma!$C$7:$C$45,"&lt;&gt;Epic")</f>
        <v>46307</v>
      </c>
      <c r="E8" s="32" t="n">
        <f aca="false">_xlfn.MAXIFS(Cronograma!$N$7:$N$45,Cronograma!$G$7:$G$45,B8,Cronograma!$C$7:$C$45,"&lt;&gt;Epic")</f>
        <v>46311</v>
      </c>
      <c r="F8" s="27" t="n">
        <f aca="false">COUNTIFS(Cronograma!$G$7:$G$45,B8,Cronograma!$C$7:$C$45,"&lt;&gt;Epic")</f>
        <v>6</v>
      </c>
      <c r="G8" s="27" t="n">
        <f aca="false">COUNTIFS(Cronograma!$G$7:$G$45,B8,Cronograma!$C$7:$C$45,"Story")</f>
        <v>3</v>
      </c>
      <c r="H8" s="29" t="n">
        <f aca="false">SUMIFS(Cronograma!$P$7:$P$45,Cronograma!$G$7:$G$45,B8)</f>
        <v>12.5</v>
      </c>
      <c r="I8" s="29" t="n">
        <f aca="false">SUMIFS(Cronograma!$P$7:$P$45,Cronograma!$G$7:$G$45,B8,Cronograma!$O$7:$O$45,"Concluído")</f>
        <v>12.5</v>
      </c>
      <c r="J8" s="29" t="n">
        <f aca="false">H8-I8</f>
        <v>0</v>
      </c>
      <c r="K8" s="33" t="n">
        <f aca="false">IF(H8=0,0,I8/H8)</f>
        <v>1</v>
      </c>
      <c r="L8" s="1"/>
      <c r="M8" s="1"/>
      <c r="N8" s="1"/>
      <c r="O8" s="1"/>
      <c r="P8" s="1"/>
      <c r="Q8" s="1"/>
    </row>
    <row r="9" customFormat="false" ht="21.75" hidden="false" customHeight="true" outlineLevel="0" collapsed="false">
      <c r="A9" s="1"/>
      <c r="B9" s="31" t="str">
        <f aca="false">Parâmetros!A8</f>
        <v>S04 - Avaliações e indicadores</v>
      </c>
      <c r="C9" s="31" t="str">
        <f aca="false">INDEX(Cronograma!$F$7:$F$45,MATCH(B9,Cronograma!$G$7:$G$45,0))</f>
        <v>Avaliações e acompanhamento do ODS 4</v>
      </c>
      <c r="D9" s="32" t="n">
        <f aca="false">_xlfn.MINIFS(Cronograma!$M$7:$M$45,Cronograma!$G$7:$G$45,B9,Cronograma!$C$7:$C$45,"&lt;&gt;Epic")</f>
        <v>46312</v>
      </c>
      <c r="E9" s="32" t="n">
        <f aca="false">_xlfn.MAXIFS(Cronograma!$N$7:$N$45,Cronograma!$G$7:$G$45,B9,Cronograma!$C$7:$C$45,"&lt;&gt;Epic")</f>
        <v>46316</v>
      </c>
      <c r="F9" s="27" t="n">
        <f aca="false">COUNTIFS(Cronograma!$G$7:$G$45,B9,Cronograma!$C$7:$C$45,"&lt;&gt;Epic")</f>
        <v>6</v>
      </c>
      <c r="G9" s="27" t="n">
        <f aca="false">COUNTIFS(Cronograma!$G$7:$G$45,B9,Cronograma!$C$7:$C$45,"Story")</f>
        <v>3</v>
      </c>
      <c r="H9" s="29" t="n">
        <f aca="false">SUMIFS(Cronograma!$P$7:$P$45,Cronograma!$G$7:$G$45,B9)</f>
        <v>10.5</v>
      </c>
      <c r="I9" s="29" t="n">
        <f aca="false">SUMIFS(Cronograma!$P$7:$P$45,Cronograma!$G$7:$G$45,B9,Cronograma!$O$7:$O$45,"Concluído")</f>
        <v>10.5</v>
      </c>
      <c r="J9" s="29" t="n">
        <f aca="false">H9-I9</f>
        <v>0</v>
      </c>
      <c r="K9" s="33" t="n">
        <f aca="false">IF(H9=0,0,I9/H9)</f>
        <v>1</v>
      </c>
      <c r="L9" s="1"/>
      <c r="M9" s="1"/>
      <c r="N9" s="1"/>
      <c r="O9" s="1"/>
      <c r="P9" s="1"/>
      <c r="Q9" s="1"/>
    </row>
    <row r="10" customFormat="false" ht="21.75" hidden="false" customHeight="true" outlineLevel="0" collapsed="false">
      <c r="A10" s="1"/>
      <c r="B10" s="31" t="str">
        <f aca="false">Parâmetros!A9</f>
        <v>S05 - Suprimentos e segurança</v>
      </c>
      <c r="C10" s="31" t="str">
        <f aca="false">INDEX(Cronograma!$F$7:$F$45,MATCH(B10,Cronograma!$G$7:$G$45,0))</f>
        <v>Suprimentos e controle de acesso</v>
      </c>
      <c r="D10" s="32" t="n">
        <f aca="false">_xlfn.MINIFS(Cronograma!$M$7:$M$45,Cronograma!$G$7:$G$45,B10,Cronograma!$C$7:$C$45,"&lt;&gt;Epic")</f>
        <v>46317</v>
      </c>
      <c r="E10" s="32" t="n">
        <f aca="false">_xlfn.MAXIFS(Cronograma!$N$7:$N$45,Cronograma!$G$7:$G$45,B10,Cronograma!$C$7:$C$45,"&lt;&gt;Epic")</f>
        <v>46320</v>
      </c>
      <c r="F10" s="27" t="n">
        <f aca="false">COUNTIFS(Cronograma!$G$7:$G$45,B10,Cronograma!$C$7:$C$45,"&lt;&gt;Epic")</f>
        <v>6</v>
      </c>
      <c r="G10" s="27" t="n">
        <f aca="false">COUNTIFS(Cronograma!$G$7:$G$45,B10,Cronograma!$C$7:$C$45,"Story")</f>
        <v>3</v>
      </c>
      <c r="H10" s="29" t="n">
        <f aca="false">SUMIFS(Cronograma!$P$7:$P$45,Cronograma!$G$7:$G$45,B10)</f>
        <v>11</v>
      </c>
      <c r="I10" s="29" t="n">
        <f aca="false">SUMIFS(Cronograma!$P$7:$P$45,Cronograma!$G$7:$G$45,B10,Cronograma!$O$7:$O$45,"Concluído")</f>
        <v>7.5</v>
      </c>
      <c r="J10" s="29" t="n">
        <f aca="false">H10-I10</f>
        <v>3.5</v>
      </c>
      <c r="K10" s="33" t="n">
        <f aca="false">IF(H10=0,0,I10/H10)</f>
        <v>0.681818181818182</v>
      </c>
      <c r="L10" s="1"/>
      <c r="M10" s="1"/>
      <c r="N10" s="1"/>
      <c r="O10" s="1"/>
      <c r="P10" s="1"/>
      <c r="Q10" s="1"/>
    </row>
    <row r="11" customFormat="false" ht="21.75" hidden="false" customHeight="true" outlineLevel="0" collapsed="false">
      <c r="A11" s="1"/>
      <c r="B11" s="31" t="str">
        <f aca="false">Parâmetros!A10</f>
        <v>S06 - Validação e entrega</v>
      </c>
      <c r="C11" s="31" t="str">
        <f aca="false">INDEX(Cronograma!$F$7:$F$45,MATCH(B11,Cronograma!$G$7:$G$45,0))</f>
        <v>Qualidade, publicação e documentação</v>
      </c>
      <c r="D11" s="32" t="n">
        <f aca="false">_xlfn.MINIFS(Cronograma!$M$7:$M$45,Cronograma!$G$7:$G$45,B11,Cronograma!$C$7:$C$45,"&lt;&gt;Epic")</f>
        <v>46320</v>
      </c>
      <c r="E11" s="32" t="n">
        <f aca="false">_xlfn.MAXIFS(Cronograma!$N$7:$N$45,Cronograma!$G$7:$G$45,B11,Cronograma!$C$7:$C$45,"&lt;&gt;Epic")</f>
        <v>46323</v>
      </c>
      <c r="F11" s="27" t="n">
        <f aca="false">COUNTIFS(Cronograma!$G$7:$G$45,B11,Cronograma!$C$7:$C$45,"&lt;&gt;Epic")</f>
        <v>6</v>
      </c>
      <c r="G11" s="27" t="n">
        <f aca="false">COUNTIFS(Cronograma!$G$7:$G$45,B11,Cronograma!$C$7:$C$45,"Story")</f>
        <v>3</v>
      </c>
      <c r="H11" s="29" t="n">
        <f aca="false">SUMIFS(Cronograma!$P$7:$P$45,Cronograma!$G$7:$G$45,B11)</f>
        <v>9</v>
      </c>
      <c r="I11" s="29" t="n">
        <f aca="false">SUMIFS(Cronograma!$P$7:$P$45,Cronograma!$G$7:$G$45,B11,Cronograma!$O$7:$O$45,"Concluído")</f>
        <v>3</v>
      </c>
      <c r="J11" s="29" t="n">
        <f aca="false">H11-I11</f>
        <v>6</v>
      </c>
      <c r="K11" s="33" t="n">
        <f aca="false">IF(H11=0,0,I11/H11)</f>
        <v>0.333333333333333</v>
      </c>
      <c r="L11" s="1"/>
      <c r="M11" s="1"/>
      <c r="N11" s="1"/>
      <c r="O11" s="1"/>
      <c r="P11" s="1"/>
      <c r="Q11" s="1"/>
    </row>
    <row r="12" customFormat="false" ht="21.75" hidden="false" customHeight="true" outlineLevel="0" collapsed="false">
      <c r="A12" s="1"/>
      <c r="B12" s="34" t="s">
        <v>44</v>
      </c>
      <c r="C12" s="34"/>
      <c r="D12" s="35" t="n">
        <f aca="false">MIN(D6:D11)</f>
        <v>46296</v>
      </c>
      <c r="E12" s="35" t="n">
        <f aca="false">MAX(E6:E11)</f>
        <v>46323</v>
      </c>
      <c r="F12" s="36" t="n">
        <f aca="false">SUM(F6:F11)</f>
        <v>33</v>
      </c>
      <c r="G12" s="36" t="n">
        <f aca="false">SUM(G6:G11)</f>
        <v>17</v>
      </c>
      <c r="H12" s="37" t="n">
        <f aca="false">SUM(H6:H11)</f>
        <v>63</v>
      </c>
      <c r="I12" s="37" t="n">
        <f aca="false">SUM(I6:I11)</f>
        <v>53.5</v>
      </c>
      <c r="J12" s="37" t="n">
        <f aca="false">SUM(J6:J11)</f>
        <v>9.5</v>
      </c>
      <c r="K12" s="38" t="n">
        <f aca="false">IF(H12=0,0,I12/H12)</f>
        <v>0.849206349206349</v>
      </c>
      <c r="L12" s="1"/>
      <c r="M12" s="1"/>
      <c r="N12" s="1"/>
      <c r="O12" s="1"/>
      <c r="P12" s="1"/>
      <c r="Q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customFormat="false" ht="15" hidden="false" customHeight="false" outlineLevel="0" collapsed="false">
      <c r="A14" s="1"/>
      <c r="B14" s="11" t="s">
        <v>45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customFormat="false" ht="17.35" hidden="false" customHeight="false" outlineLevel="0" collapsed="false">
      <c r="A16" s="1"/>
      <c r="B16" s="39" t="s">
        <v>46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CC15"/>
    <pageSetUpPr fitToPage="true"/>
  </sheetPr>
  <dimension ref="A1:G4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110"/>
  </cols>
  <sheetData>
    <row r="1" customFormat="false" ht="36" hidden="false" customHeight="true" outlineLevel="0" collapsed="false">
      <c r="A1" s="1"/>
      <c r="B1" s="2" t="s">
        <v>47</v>
      </c>
      <c r="C1" s="1"/>
      <c r="D1" s="1"/>
      <c r="E1" s="1"/>
      <c r="F1" s="1"/>
      <c r="G1" s="1"/>
    </row>
    <row r="2" customFormat="false" ht="15" hidden="false" customHeight="false" outlineLevel="0" collapsed="false">
      <c r="A2" s="1"/>
      <c r="B2" s="3" t="s">
        <v>48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25.5" hidden="false" customHeight="true" outlineLevel="0" collapsed="false">
      <c r="A4" s="1"/>
      <c r="B4" s="20" t="s">
        <v>49</v>
      </c>
      <c r="C4" s="20" t="s">
        <v>50</v>
      </c>
      <c r="D4" s="20" t="s">
        <v>51</v>
      </c>
      <c r="E4" s="20" t="s">
        <v>20</v>
      </c>
      <c r="F4" s="20" t="s">
        <v>52</v>
      </c>
      <c r="G4" s="1"/>
    </row>
    <row r="5" customFormat="false" ht="30" hidden="false" customHeight="true" outlineLevel="0" collapsed="false">
      <c r="A5" s="1"/>
      <c r="B5" s="40" t="n">
        <v>1</v>
      </c>
      <c r="C5" s="41" t="s">
        <v>53</v>
      </c>
      <c r="D5" s="41"/>
      <c r="E5" s="40" t="s">
        <v>54</v>
      </c>
      <c r="F5" s="41" t="s">
        <v>55</v>
      </c>
      <c r="G5" s="1"/>
    </row>
    <row r="6" customFormat="false" ht="18" hidden="false" customHeight="true" outlineLevel="0" collapsed="false">
      <c r="A6" s="1"/>
      <c r="B6" s="40" t="n">
        <v>2</v>
      </c>
      <c r="C6" s="41" t="s">
        <v>53</v>
      </c>
      <c r="D6" s="41"/>
      <c r="E6" s="40" t="s">
        <v>54</v>
      </c>
      <c r="F6" s="41" t="s">
        <v>56</v>
      </c>
      <c r="G6" s="1"/>
    </row>
    <row r="7" customFormat="false" ht="60" hidden="false" customHeight="true" outlineLevel="0" collapsed="false">
      <c r="A7" s="1"/>
      <c r="B7" s="40" t="n">
        <v>3</v>
      </c>
      <c r="C7" s="41" t="s">
        <v>53</v>
      </c>
      <c r="D7" s="41"/>
      <c r="E7" s="40" t="s">
        <v>57</v>
      </c>
      <c r="F7" s="41" t="s">
        <v>58</v>
      </c>
      <c r="G7" s="1"/>
    </row>
    <row r="8" customFormat="false" ht="45" hidden="false" customHeight="true" outlineLevel="0" collapsed="false">
      <c r="A8" s="1"/>
      <c r="B8" s="40" t="n">
        <v>4</v>
      </c>
      <c r="C8" s="41" t="s">
        <v>59</v>
      </c>
      <c r="D8" s="41"/>
      <c r="E8" s="40" t="s">
        <v>54</v>
      </c>
      <c r="F8" s="41" t="s">
        <v>60</v>
      </c>
      <c r="G8" s="1"/>
    </row>
    <row r="9" customFormat="false" ht="18" hidden="false" customHeight="true" outlineLevel="0" collapsed="false">
      <c r="A9" s="1"/>
      <c r="B9" s="40" t="n">
        <v>5</v>
      </c>
      <c r="C9" s="41" t="s">
        <v>59</v>
      </c>
      <c r="D9" s="41"/>
      <c r="E9" s="40" t="s">
        <v>61</v>
      </c>
      <c r="F9" s="41" t="s">
        <v>62</v>
      </c>
      <c r="G9" s="1"/>
    </row>
    <row r="10" customFormat="false" ht="18" hidden="false" customHeight="true" outlineLevel="0" collapsed="false">
      <c r="A10" s="1"/>
      <c r="B10" s="40" t="n">
        <v>6</v>
      </c>
      <c r="C10" s="41" t="s">
        <v>59</v>
      </c>
      <c r="D10" s="41"/>
      <c r="E10" s="40" t="s">
        <v>61</v>
      </c>
      <c r="F10" s="41" t="s">
        <v>63</v>
      </c>
      <c r="G10" s="1"/>
    </row>
    <row r="11" customFormat="false" ht="45" hidden="false" customHeight="true" outlineLevel="0" collapsed="false">
      <c r="A11" s="1"/>
      <c r="B11" s="40" t="n">
        <v>7</v>
      </c>
      <c r="C11" s="41" t="s">
        <v>59</v>
      </c>
      <c r="D11" s="41"/>
      <c r="E11" s="40" t="s">
        <v>61</v>
      </c>
      <c r="F11" s="41" t="s">
        <v>64</v>
      </c>
      <c r="G11" s="1"/>
    </row>
    <row r="12" customFormat="false" ht="30" hidden="false" customHeight="true" outlineLevel="0" collapsed="false">
      <c r="A12" s="1"/>
      <c r="B12" s="40" t="n">
        <v>8</v>
      </c>
      <c r="C12" s="41" t="s">
        <v>59</v>
      </c>
      <c r="D12" s="41"/>
      <c r="E12" s="40" t="s">
        <v>61</v>
      </c>
      <c r="F12" s="41" t="s">
        <v>65</v>
      </c>
      <c r="G12" s="1"/>
    </row>
    <row r="13" customFormat="false" ht="30" hidden="false" customHeight="true" outlineLevel="0" collapsed="false">
      <c r="A13" s="1"/>
      <c r="B13" s="40" t="n">
        <v>9</v>
      </c>
      <c r="C13" s="41" t="s">
        <v>66</v>
      </c>
      <c r="D13" s="41"/>
      <c r="E13" s="40" t="s">
        <v>61</v>
      </c>
      <c r="F13" s="41" t="s">
        <v>67</v>
      </c>
      <c r="G13" s="1"/>
    </row>
    <row r="14" customFormat="false" ht="18" hidden="false" customHeight="true" outlineLevel="0" collapsed="false">
      <c r="A14" s="1"/>
      <c r="B14" s="40" t="n">
        <v>10</v>
      </c>
      <c r="C14" s="41" t="s">
        <v>66</v>
      </c>
      <c r="D14" s="41"/>
      <c r="E14" s="40" t="s">
        <v>61</v>
      </c>
      <c r="F14" s="41" t="s">
        <v>68</v>
      </c>
      <c r="G14" s="1"/>
    </row>
    <row r="15" customFormat="false" ht="18" hidden="false" customHeight="true" outlineLevel="0" collapsed="false">
      <c r="A15" s="1"/>
      <c r="B15" s="40" t="n">
        <v>11</v>
      </c>
      <c r="C15" s="41" t="s">
        <v>66</v>
      </c>
      <c r="D15" s="41"/>
      <c r="E15" s="40" t="s">
        <v>61</v>
      </c>
      <c r="F15" s="41" t="s">
        <v>69</v>
      </c>
      <c r="G15" s="1"/>
    </row>
    <row r="16" customFormat="false" ht="18" hidden="false" customHeight="true" outlineLevel="0" collapsed="false">
      <c r="A16" s="1"/>
      <c r="B16" s="40" t="n">
        <v>12</v>
      </c>
      <c r="C16" s="41" t="s">
        <v>66</v>
      </c>
      <c r="D16" s="41"/>
      <c r="E16" s="40" t="s">
        <v>61</v>
      </c>
      <c r="F16" s="41" t="s">
        <v>70</v>
      </c>
      <c r="G16" s="1"/>
    </row>
    <row r="17" customFormat="false" ht="18" hidden="false" customHeight="true" outlineLevel="0" collapsed="false">
      <c r="A17" s="1"/>
      <c r="B17" s="40" t="n">
        <v>13</v>
      </c>
      <c r="C17" s="41" t="s">
        <v>66</v>
      </c>
      <c r="D17" s="41"/>
      <c r="E17" s="40" t="s">
        <v>61</v>
      </c>
      <c r="F17" s="41" t="s">
        <v>71</v>
      </c>
      <c r="G17" s="1"/>
    </row>
    <row r="18" customFormat="false" ht="18" hidden="false" customHeight="true" outlineLevel="0" collapsed="false">
      <c r="A18" s="1"/>
      <c r="B18" s="40" t="n">
        <v>14</v>
      </c>
      <c r="C18" s="41" t="s">
        <v>66</v>
      </c>
      <c r="D18" s="41"/>
      <c r="E18" s="40" t="s">
        <v>54</v>
      </c>
      <c r="F18" s="41" t="s">
        <v>72</v>
      </c>
      <c r="G18" s="1"/>
    </row>
    <row r="19" customFormat="false" ht="18" hidden="false" customHeight="true" outlineLevel="0" collapsed="false">
      <c r="A19" s="1"/>
      <c r="B19" s="40" t="n">
        <v>15</v>
      </c>
      <c r="C19" s="41" t="s">
        <v>66</v>
      </c>
      <c r="D19" s="41"/>
      <c r="E19" s="40" t="s">
        <v>61</v>
      </c>
      <c r="F19" s="41" t="s">
        <v>73</v>
      </c>
      <c r="G19" s="1"/>
    </row>
    <row r="20" customFormat="false" ht="18" hidden="false" customHeight="true" outlineLevel="0" collapsed="false">
      <c r="A20" s="1"/>
      <c r="B20" s="40" t="n">
        <v>16</v>
      </c>
      <c r="C20" s="41" t="s">
        <v>66</v>
      </c>
      <c r="D20" s="41"/>
      <c r="E20" s="40" t="s">
        <v>61</v>
      </c>
      <c r="F20" s="41" t="s">
        <v>74</v>
      </c>
      <c r="G20" s="1"/>
    </row>
    <row r="21" customFormat="false" ht="30" hidden="false" customHeight="true" outlineLevel="0" collapsed="false">
      <c r="A21" s="1"/>
      <c r="B21" s="40" t="n">
        <v>17</v>
      </c>
      <c r="C21" s="41" t="s">
        <v>66</v>
      </c>
      <c r="D21" s="41"/>
      <c r="E21" s="40" t="s">
        <v>54</v>
      </c>
      <c r="F21" s="41" t="s">
        <v>75</v>
      </c>
      <c r="G21" s="1"/>
    </row>
    <row r="22" customFormat="false" ht="30" hidden="false" customHeight="true" outlineLevel="0" collapsed="false">
      <c r="A22" s="1"/>
      <c r="B22" s="40" t="n">
        <v>18</v>
      </c>
      <c r="C22" s="41" t="s">
        <v>76</v>
      </c>
      <c r="D22" s="41"/>
      <c r="E22" s="40" t="s">
        <v>57</v>
      </c>
      <c r="F22" s="41" t="s">
        <v>77</v>
      </c>
      <c r="G22" s="1"/>
    </row>
    <row r="23" customFormat="false" ht="45" hidden="false" customHeight="true" outlineLevel="0" collapsed="false">
      <c r="A23" s="1"/>
      <c r="B23" s="40" t="n">
        <v>19</v>
      </c>
      <c r="C23" s="41" t="s">
        <v>76</v>
      </c>
      <c r="D23" s="41"/>
      <c r="E23" s="40" t="s">
        <v>54</v>
      </c>
      <c r="F23" s="41" t="s">
        <v>78</v>
      </c>
      <c r="G23" s="1"/>
    </row>
    <row r="24" customFormat="false" ht="45" hidden="false" customHeight="true" outlineLevel="0" collapsed="false">
      <c r="A24" s="1"/>
      <c r="B24" s="40" t="n">
        <v>20</v>
      </c>
      <c r="C24" s="41" t="s">
        <v>76</v>
      </c>
      <c r="D24" s="41"/>
      <c r="E24" s="40" t="s">
        <v>54</v>
      </c>
      <c r="F24" s="41" t="s">
        <v>79</v>
      </c>
      <c r="G24" s="1"/>
    </row>
    <row r="25" customFormat="false" ht="30" hidden="false" customHeight="true" outlineLevel="0" collapsed="false">
      <c r="A25" s="1"/>
      <c r="B25" s="40" t="n">
        <v>21</v>
      </c>
      <c r="C25" s="41" t="s">
        <v>80</v>
      </c>
      <c r="D25" s="41"/>
      <c r="E25" s="40" t="s">
        <v>54</v>
      </c>
      <c r="F25" s="41" t="s">
        <v>81</v>
      </c>
      <c r="G25" s="1"/>
    </row>
    <row r="26" customFormat="false" ht="30" hidden="false" customHeight="true" outlineLevel="0" collapsed="false">
      <c r="A26" s="1"/>
      <c r="B26" s="40" t="n">
        <v>22</v>
      </c>
      <c r="C26" s="41" t="s">
        <v>80</v>
      </c>
      <c r="D26" s="41"/>
      <c r="E26" s="40" t="s">
        <v>54</v>
      </c>
      <c r="F26" s="41" t="s">
        <v>82</v>
      </c>
      <c r="G26" s="1"/>
    </row>
    <row r="27" customFormat="false" ht="45" hidden="false" customHeight="true" outlineLevel="0" collapsed="false">
      <c r="A27" s="1"/>
      <c r="B27" s="40" t="n">
        <v>23</v>
      </c>
      <c r="C27" s="41" t="s">
        <v>80</v>
      </c>
      <c r="D27" s="41"/>
      <c r="E27" s="40" t="s">
        <v>54</v>
      </c>
      <c r="F27" s="41" t="s">
        <v>83</v>
      </c>
      <c r="G27" s="1"/>
    </row>
    <row r="28" customFormat="false" ht="30" hidden="false" customHeight="true" outlineLevel="0" collapsed="false">
      <c r="A28" s="1"/>
      <c r="B28" s="40" t="n">
        <v>24</v>
      </c>
      <c r="C28" s="41" t="s">
        <v>80</v>
      </c>
      <c r="D28" s="41"/>
      <c r="E28" s="40" t="s">
        <v>54</v>
      </c>
      <c r="F28" s="41" t="s">
        <v>84</v>
      </c>
      <c r="G28" s="1"/>
    </row>
    <row r="29" customFormat="false" ht="30" hidden="false" customHeight="true" outlineLevel="0" collapsed="false">
      <c r="A29" s="1"/>
      <c r="B29" s="40" t="n">
        <v>25</v>
      </c>
      <c r="C29" s="41" t="s">
        <v>80</v>
      </c>
      <c r="D29" s="41"/>
      <c r="E29" s="40" t="s">
        <v>54</v>
      </c>
      <c r="F29" s="41" t="s">
        <v>85</v>
      </c>
      <c r="G29" s="1"/>
    </row>
    <row r="30" customFormat="false" ht="30" hidden="false" customHeight="true" outlineLevel="0" collapsed="false">
      <c r="A30" s="1"/>
      <c r="B30" s="40" t="n">
        <v>26</v>
      </c>
      <c r="C30" s="41" t="s">
        <v>80</v>
      </c>
      <c r="D30" s="41"/>
      <c r="E30" s="40" t="s">
        <v>54</v>
      </c>
      <c r="F30" s="41" t="s">
        <v>86</v>
      </c>
      <c r="G30" s="1"/>
    </row>
    <row r="31" customFormat="false" ht="30" hidden="false" customHeight="true" outlineLevel="0" collapsed="false">
      <c r="A31" s="1"/>
      <c r="B31" s="40" t="n">
        <v>27</v>
      </c>
      <c r="C31" s="41" t="s">
        <v>80</v>
      </c>
      <c r="D31" s="41"/>
      <c r="E31" s="40" t="s">
        <v>54</v>
      </c>
      <c r="F31" s="41" t="s">
        <v>87</v>
      </c>
      <c r="G31" s="1"/>
    </row>
    <row r="32" customFormat="false" ht="30" hidden="false" customHeight="true" outlineLevel="0" collapsed="false">
      <c r="A32" s="1"/>
      <c r="B32" s="40" t="n">
        <v>28</v>
      </c>
      <c r="C32" s="41" t="s">
        <v>80</v>
      </c>
      <c r="D32" s="41"/>
      <c r="E32" s="40" t="s">
        <v>54</v>
      </c>
      <c r="F32" s="41" t="s">
        <v>88</v>
      </c>
      <c r="G32" s="1"/>
    </row>
    <row r="33" customFormat="false" ht="30" hidden="false" customHeight="true" outlineLevel="0" collapsed="false">
      <c r="A33" s="1"/>
      <c r="B33" s="40" t="n">
        <v>29</v>
      </c>
      <c r="C33" s="41" t="s">
        <v>80</v>
      </c>
      <c r="D33" s="41"/>
      <c r="E33" s="40" t="s">
        <v>54</v>
      </c>
      <c r="F33" s="41" t="s">
        <v>89</v>
      </c>
      <c r="G33" s="1"/>
    </row>
    <row r="34" customFormat="false" ht="18" hidden="false" customHeight="true" outlineLevel="0" collapsed="false">
      <c r="A34" s="1"/>
      <c r="B34" s="40" t="n">
        <v>30</v>
      </c>
      <c r="C34" s="41" t="s">
        <v>80</v>
      </c>
      <c r="D34" s="41"/>
      <c r="E34" s="40" t="s">
        <v>54</v>
      </c>
      <c r="F34" s="41" t="s">
        <v>90</v>
      </c>
      <c r="G34" s="1"/>
    </row>
    <row r="35" customFormat="false" ht="30" hidden="false" customHeight="true" outlineLevel="0" collapsed="false">
      <c r="A35" s="1"/>
      <c r="B35" s="40" t="n">
        <v>31</v>
      </c>
      <c r="C35" s="41" t="s">
        <v>80</v>
      </c>
      <c r="D35" s="41"/>
      <c r="E35" s="40" t="s">
        <v>54</v>
      </c>
      <c r="F35" s="41" t="s">
        <v>91</v>
      </c>
      <c r="G35" s="1"/>
    </row>
    <row r="36" customFormat="false" ht="30" hidden="false" customHeight="true" outlineLevel="0" collapsed="false">
      <c r="A36" s="1"/>
      <c r="B36" s="40" t="n">
        <v>32</v>
      </c>
      <c r="C36" s="41" t="s">
        <v>80</v>
      </c>
      <c r="D36" s="41"/>
      <c r="E36" s="40" t="s">
        <v>54</v>
      </c>
      <c r="F36" s="41" t="s">
        <v>92</v>
      </c>
      <c r="G36" s="1"/>
    </row>
    <row r="37" customFormat="false" ht="18" hidden="false" customHeight="true" outlineLevel="0" collapsed="false">
      <c r="A37" s="1"/>
      <c r="B37" s="40" t="n">
        <v>33</v>
      </c>
      <c r="C37" s="41" t="s">
        <v>80</v>
      </c>
      <c r="D37" s="41"/>
      <c r="E37" s="40" t="s">
        <v>54</v>
      </c>
      <c r="F37" s="41" t="s">
        <v>93</v>
      </c>
      <c r="G37" s="1"/>
    </row>
    <row r="38" customFormat="false" ht="45" hidden="false" customHeight="true" outlineLevel="0" collapsed="false">
      <c r="A38" s="1"/>
      <c r="B38" s="40" t="n">
        <v>34</v>
      </c>
      <c r="C38" s="41" t="s">
        <v>94</v>
      </c>
      <c r="D38" s="41"/>
      <c r="E38" s="40" t="s">
        <v>61</v>
      </c>
      <c r="F38" s="41" t="s">
        <v>95</v>
      </c>
      <c r="G38" s="1"/>
    </row>
    <row r="39" customFormat="false" ht="30" hidden="false" customHeight="true" outlineLevel="0" collapsed="false">
      <c r="A39" s="1"/>
      <c r="B39" s="40" t="n">
        <v>35</v>
      </c>
      <c r="C39" s="41" t="s">
        <v>94</v>
      </c>
      <c r="D39" s="41"/>
      <c r="E39" s="40" t="s">
        <v>61</v>
      </c>
      <c r="F39" s="41" t="s">
        <v>96</v>
      </c>
      <c r="G39" s="1"/>
    </row>
    <row r="40" customFormat="false" ht="30" hidden="false" customHeight="true" outlineLevel="0" collapsed="false">
      <c r="A40" s="1"/>
      <c r="B40" s="40" t="n">
        <v>36</v>
      </c>
      <c r="C40" s="41" t="s">
        <v>94</v>
      </c>
      <c r="D40" s="41"/>
      <c r="E40" s="40" t="s">
        <v>61</v>
      </c>
      <c r="F40" s="41" t="s">
        <v>97</v>
      </c>
      <c r="G40" s="1"/>
    </row>
    <row r="41" customFormat="false" ht="30" hidden="false" customHeight="true" outlineLevel="0" collapsed="false">
      <c r="A41" s="1"/>
      <c r="B41" s="40" t="n">
        <v>37</v>
      </c>
      <c r="C41" s="41" t="s">
        <v>94</v>
      </c>
      <c r="D41" s="41"/>
      <c r="E41" s="40" t="s">
        <v>61</v>
      </c>
      <c r="F41" s="41" t="s">
        <v>98</v>
      </c>
      <c r="G41" s="1"/>
    </row>
    <row r="42" customFormat="false" ht="18" hidden="false" customHeight="true" outlineLevel="0" collapsed="false">
      <c r="A42" s="1"/>
      <c r="B42" s="40" t="n">
        <v>38</v>
      </c>
      <c r="C42" s="41" t="s">
        <v>94</v>
      </c>
      <c r="D42" s="41"/>
      <c r="E42" s="40" t="s">
        <v>61</v>
      </c>
      <c r="F42" s="41" t="s">
        <v>99</v>
      </c>
      <c r="G42" s="1"/>
    </row>
    <row r="43" customFormat="false" ht="45" hidden="false" customHeight="true" outlineLevel="0" collapsed="false">
      <c r="A43" s="1"/>
      <c r="B43" s="40" t="n">
        <v>39</v>
      </c>
      <c r="C43" s="41" t="s">
        <v>94</v>
      </c>
      <c r="D43" s="41"/>
      <c r="E43" s="40" t="s">
        <v>61</v>
      </c>
      <c r="F43" s="41" t="s">
        <v>100</v>
      </c>
      <c r="G43" s="1"/>
    </row>
    <row r="44" customFormat="false" ht="30" hidden="false" customHeight="true" outlineLevel="0" collapsed="false">
      <c r="A44" s="1"/>
      <c r="B44" s="40" t="n">
        <v>40</v>
      </c>
      <c r="C44" s="41" t="s">
        <v>94</v>
      </c>
      <c r="D44" s="41"/>
      <c r="E44" s="40" t="s">
        <v>61</v>
      </c>
      <c r="F44" s="41" t="s">
        <v>101</v>
      </c>
      <c r="G44" s="1"/>
    </row>
    <row r="45" customFormat="false" ht="30" hidden="false" customHeight="true" outlineLevel="0" collapsed="false">
      <c r="A45" s="1"/>
      <c r="B45" s="40" t="n">
        <v>41</v>
      </c>
      <c r="C45" s="41" t="s">
        <v>94</v>
      </c>
      <c r="D45" s="41"/>
      <c r="E45" s="40" t="s">
        <v>61</v>
      </c>
      <c r="F45" s="41" t="s">
        <v>102</v>
      </c>
      <c r="G45" s="1"/>
    </row>
    <row r="46" customFormat="false" ht="30" hidden="false" customHeight="true" outlineLevel="0" collapsed="false">
      <c r="A46" s="1"/>
      <c r="B46" s="40" t="n">
        <v>42</v>
      </c>
      <c r="C46" s="41" t="s">
        <v>94</v>
      </c>
      <c r="D46" s="41"/>
      <c r="E46" s="40" t="s">
        <v>61</v>
      </c>
      <c r="F46" s="41" t="s">
        <v>103</v>
      </c>
      <c r="G46" s="1"/>
    </row>
    <row r="47" customFormat="false" ht="30" hidden="false" customHeight="true" outlineLevel="0" collapsed="false">
      <c r="A47" s="1"/>
      <c r="B47" s="40" t="n">
        <v>43</v>
      </c>
      <c r="C47" s="41" t="s">
        <v>104</v>
      </c>
      <c r="D47" s="41" t="s">
        <v>105</v>
      </c>
      <c r="E47" s="40" t="s">
        <v>61</v>
      </c>
      <c r="F47" s="41" t="s">
        <v>106</v>
      </c>
      <c r="G47" s="1"/>
    </row>
    <row r="48" customFormat="false" ht="30" hidden="false" customHeight="true" outlineLevel="0" collapsed="false">
      <c r="A48" s="1"/>
      <c r="B48" s="40" t="n">
        <v>44</v>
      </c>
      <c r="C48" s="41" t="s">
        <v>104</v>
      </c>
      <c r="D48" s="41" t="s">
        <v>105</v>
      </c>
      <c r="E48" s="40" t="s">
        <v>61</v>
      </c>
      <c r="F48" s="41" t="s">
        <v>107</v>
      </c>
      <c r="G48" s="1"/>
    </row>
    <row r="49" customFormat="false" ht="18" hidden="false" customHeight="true" outlineLevel="0" collapsed="false">
      <c r="A49" s="1"/>
      <c r="B49" s="40" t="n">
        <v>45</v>
      </c>
      <c r="C49" s="41" t="s">
        <v>104</v>
      </c>
      <c r="D49" s="41" t="s">
        <v>108</v>
      </c>
      <c r="E49" s="40" t="s">
        <v>61</v>
      </c>
      <c r="F49" s="41" t="s">
        <v>109</v>
      </c>
      <c r="G49" s="1"/>
    </row>
    <row r="50" customFormat="false" ht="30" hidden="false" customHeight="true" outlineLevel="0" collapsed="false">
      <c r="A50" s="1"/>
      <c r="B50" s="40" t="n">
        <v>46</v>
      </c>
      <c r="C50" s="41" t="s">
        <v>104</v>
      </c>
      <c r="D50" s="41" t="s">
        <v>108</v>
      </c>
      <c r="E50" s="40" t="s">
        <v>61</v>
      </c>
      <c r="F50" s="41" t="s">
        <v>110</v>
      </c>
      <c r="G50" s="1"/>
    </row>
    <row r="51" customFormat="false" ht="18" hidden="false" customHeight="true" outlineLevel="0" collapsed="false">
      <c r="A51" s="1"/>
      <c r="B51" s="40" t="n">
        <v>47</v>
      </c>
      <c r="C51" s="41" t="s">
        <v>104</v>
      </c>
      <c r="D51" s="41" t="s">
        <v>108</v>
      </c>
      <c r="E51" s="40" t="s">
        <v>61</v>
      </c>
      <c r="F51" s="41" t="s">
        <v>111</v>
      </c>
      <c r="G51" s="1"/>
    </row>
    <row r="52" customFormat="false" ht="18" hidden="false" customHeight="true" outlineLevel="0" collapsed="false">
      <c r="A52" s="1"/>
      <c r="B52" s="40" t="n">
        <v>48</v>
      </c>
      <c r="C52" s="41" t="s">
        <v>104</v>
      </c>
      <c r="D52" s="41" t="s">
        <v>108</v>
      </c>
      <c r="E52" s="40" t="s">
        <v>61</v>
      </c>
      <c r="F52" s="41" t="s">
        <v>112</v>
      </c>
      <c r="G52" s="1"/>
    </row>
    <row r="53" customFormat="false" ht="30" hidden="false" customHeight="true" outlineLevel="0" collapsed="false">
      <c r="A53" s="1"/>
      <c r="B53" s="40" t="n">
        <v>49</v>
      </c>
      <c r="C53" s="41" t="s">
        <v>104</v>
      </c>
      <c r="D53" s="41" t="s">
        <v>108</v>
      </c>
      <c r="E53" s="40" t="s">
        <v>61</v>
      </c>
      <c r="F53" s="41" t="s">
        <v>113</v>
      </c>
      <c r="G53" s="1"/>
    </row>
    <row r="54" customFormat="false" ht="18" hidden="false" customHeight="true" outlineLevel="0" collapsed="false">
      <c r="A54" s="1"/>
      <c r="B54" s="40" t="n">
        <v>50</v>
      </c>
      <c r="C54" s="41" t="s">
        <v>104</v>
      </c>
      <c r="D54" s="41" t="s">
        <v>108</v>
      </c>
      <c r="E54" s="40" t="s">
        <v>61</v>
      </c>
      <c r="F54" s="41" t="s">
        <v>114</v>
      </c>
      <c r="G54" s="1"/>
    </row>
    <row r="55" customFormat="false" ht="18" hidden="false" customHeight="true" outlineLevel="0" collapsed="false">
      <c r="A55" s="1"/>
      <c r="B55" s="40" t="n">
        <v>51</v>
      </c>
      <c r="C55" s="41" t="s">
        <v>104</v>
      </c>
      <c r="D55" s="41" t="s">
        <v>108</v>
      </c>
      <c r="E55" s="40" t="s">
        <v>61</v>
      </c>
      <c r="F55" s="41" t="s">
        <v>115</v>
      </c>
      <c r="G55" s="1"/>
    </row>
    <row r="56" customFormat="false" ht="18" hidden="false" customHeight="true" outlineLevel="0" collapsed="false">
      <c r="A56" s="1"/>
      <c r="B56" s="40" t="n">
        <v>52</v>
      </c>
      <c r="C56" s="41" t="s">
        <v>104</v>
      </c>
      <c r="D56" s="41" t="s">
        <v>108</v>
      </c>
      <c r="E56" s="40" t="s">
        <v>61</v>
      </c>
      <c r="F56" s="41" t="s">
        <v>116</v>
      </c>
      <c r="G56" s="1"/>
    </row>
    <row r="57" customFormat="false" ht="18" hidden="false" customHeight="true" outlineLevel="0" collapsed="false">
      <c r="A57" s="1"/>
      <c r="B57" s="40" t="n">
        <v>53</v>
      </c>
      <c r="C57" s="41" t="s">
        <v>104</v>
      </c>
      <c r="D57" s="41" t="s">
        <v>117</v>
      </c>
      <c r="E57" s="40" t="s">
        <v>61</v>
      </c>
      <c r="F57" s="41" t="s">
        <v>118</v>
      </c>
      <c r="G57" s="1"/>
    </row>
    <row r="58" customFormat="false" ht="18" hidden="false" customHeight="true" outlineLevel="0" collapsed="false">
      <c r="A58" s="1"/>
      <c r="B58" s="40" t="n">
        <v>54</v>
      </c>
      <c r="C58" s="41" t="s">
        <v>104</v>
      </c>
      <c r="D58" s="41" t="s">
        <v>117</v>
      </c>
      <c r="E58" s="40" t="s">
        <v>61</v>
      </c>
      <c r="F58" s="41" t="s">
        <v>119</v>
      </c>
      <c r="G58" s="1"/>
    </row>
    <row r="59" customFormat="false" ht="18" hidden="false" customHeight="true" outlineLevel="0" collapsed="false">
      <c r="A59" s="1"/>
      <c r="B59" s="40" t="n">
        <v>55</v>
      </c>
      <c r="C59" s="41" t="s">
        <v>104</v>
      </c>
      <c r="D59" s="41" t="s">
        <v>117</v>
      </c>
      <c r="E59" s="40" t="s">
        <v>61</v>
      </c>
      <c r="F59" s="41" t="s">
        <v>120</v>
      </c>
      <c r="G59" s="1"/>
    </row>
    <row r="60" customFormat="false" ht="30" hidden="false" customHeight="true" outlineLevel="0" collapsed="false">
      <c r="A60" s="1"/>
      <c r="B60" s="40" t="n">
        <v>56</v>
      </c>
      <c r="C60" s="41" t="s">
        <v>104</v>
      </c>
      <c r="D60" s="41" t="s">
        <v>117</v>
      </c>
      <c r="E60" s="40" t="s">
        <v>61</v>
      </c>
      <c r="F60" s="41" t="s">
        <v>121</v>
      </c>
      <c r="G60" s="1"/>
    </row>
    <row r="61" customFormat="false" ht="18" hidden="false" customHeight="true" outlineLevel="0" collapsed="false">
      <c r="A61" s="1"/>
      <c r="B61" s="40" t="n">
        <v>57</v>
      </c>
      <c r="C61" s="41" t="s">
        <v>104</v>
      </c>
      <c r="D61" s="41" t="s">
        <v>117</v>
      </c>
      <c r="E61" s="40" t="s">
        <v>61</v>
      </c>
      <c r="F61" s="41" t="s">
        <v>122</v>
      </c>
      <c r="G61" s="1"/>
    </row>
    <row r="62" customFormat="false" ht="30" hidden="false" customHeight="true" outlineLevel="0" collapsed="false">
      <c r="A62" s="1"/>
      <c r="B62" s="40" t="n">
        <v>58</v>
      </c>
      <c r="C62" s="41" t="s">
        <v>104</v>
      </c>
      <c r="D62" s="41" t="s">
        <v>123</v>
      </c>
      <c r="E62" s="40" t="s">
        <v>61</v>
      </c>
      <c r="F62" s="41" t="s">
        <v>124</v>
      </c>
      <c r="G62" s="1"/>
    </row>
    <row r="63" customFormat="false" ht="30" hidden="false" customHeight="true" outlineLevel="0" collapsed="false">
      <c r="A63" s="1"/>
      <c r="B63" s="40" t="n">
        <v>59</v>
      </c>
      <c r="C63" s="41" t="s">
        <v>104</v>
      </c>
      <c r="D63" s="41" t="s">
        <v>123</v>
      </c>
      <c r="E63" s="40" t="s">
        <v>61</v>
      </c>
      <c r="F63" s="41" t="s">
        <v>125</v>
      </c>
      <c r="G63" s="1"/>
    </row>
    <row r="64" customFormat="false" ht="30" hidden="false" customHeight="true" outlineLevel="0" collapsed="false">
      <c r="A64" s="1"/>
      <c r="B64" s="40" t="n">
        <v>60</v>
      </c>
      <c r="C64" s="41" t="s">
        <v>104</v>
      </c>
      <c r="D64" s="41" t="s">
        <v>123</v>
      </c>
      <c r="E64" s="40" t="s">
        <v>61</v>
      </c>
      <c r="F64" s="41" t="s">
        <v>126</v>
      </c>
      <c r="G64" s="1"/>
    </row>
    <row r="65" customFormat="false" ht="30" hidden="false" customHeight="true" outlineLevel="0" collapsed="false">
      <c r="A65" s="1"/>
      <c r="B65" s="40" t="n">
        <v>61</v>
      </c>
      <c r="C65" s="41" t="s">
        <v>104</v>
      </c>
      <c r="D65" s="41" t="s">
        <v>123</v>
      </c>
      <c r="E65" s="40" t="s">
        <v>61</v>
      </c>
      <c r="F65" s="41" t="s">
        <v>127</v>
      </c>
      <c r="G65" s="1"/>
    </row>
    <row r="66" customFormat="false" ht="18" hidden="false" customHeight="true" outlineLevel="0" collapsed="false">
      <c r="A66" s="1"/>
      <c r="B66" s="40" t="n">
        <v>62</v>
      </c>
      <c r="C66" s="41" t="s">
        <v>104</v>
      </c>
      <c r="D66" s="41" t="s">
        <v>128</v>
      </c>
      <c r="E66" s="40" t="s">
        <v>61</v>
      </c>
      <c r="F66" s="41" t="s">
        <v>129</v>
      </c>
      <c r="G66" s="1"/>
    </row>
    <row r="67" customFormat="false" ht="30" hidden="false" customHeight="true" outlineLevel="0" collapsed="false">
      <c r="A67" s="1"/>
      <c r="B67" s="40" t="n">
        <v>63</v>
      </c>
      <c r="C67" s="41" t="s">
        <v>104</v>
      </c>
      <c r="D67" s="41" t="s">
        <v>128</v>
      </c>
      <c r="E67" s="40" t="s">
        <v>61</v>
      </c>
      <c r="F67" s="41" t="s">
        <v>130</v>
      </c>
      <c r="G67" s="1"/>
    </row>
    <row r="68" customFormat="false" ht="18" hidden="false" customHeight="true" outlineLevel="0" collapsed="false">
      <c r="A68" s="1"/>
      <c r="B68" s="40" t="n">
        <v>64</v>
      </c>
      <c r="C68" s="41" t="s">
        <v>104</v>
      </c>
      <c r="D68" s="41" t="s">
        <v>128</v>
      </c>
      <c r="E68" s="40" t="s">
        <v>61</v>
      </c>
      <c r="F68" s="41" t="s">
        <v>131</v>
      </c>
      <c r="G68" s="1"/>
    </row>
    <row r="69" customFormat="false" ht="18" hidden="false" customHeight="true" outlineLevel="0" collapsed="false">
      <c r="A69" s="1"/>
      <c r="B69" s="40" t="n">
        <v>65</v>
      </c>
      <c r="C69" s="41" t="s">
        <v>104</v>
      </c>
      <c r="D69" s="41" t="s">
        <v>128</v>
      </c>
      <c r="E69" s="40" t="s">
        <v>61</v>
      </c>
      <c r="F69" s="41" t="s">
        <v>132</v>
      </c>
      <c r="G69" s="1"/>
    </row>
    <row r="70" customFormat="false" ht="30" hidden="false" customHeight="true" outlineLevel="0" collapsed="false">
      <c r="A70" s="1"/>
      <c r="B70" s="40" t="n">
        <v>66</v>
      </c>
      <c r="C70" s="41" t="s">
        <v>104</v>
      </c>
      <c r="D70" s="41" t="s">
        <v>128</v>
      </c>
      <c r="E70" s="40" t="s">
        <v>61</v>
      </c>
      <c r="F70" s="41" t="s">
        <v>133</v>
      </c>
      <c r="G70" s="1"/>
    </row>
    <row r="71" customFormat="false" ht="18" hidden="false" customHeight="true" outlineLevel="0" collapsed="false">
      <c r="A71" s="1"/>
      <c r="B71" s="40" t="n">
        <v>67</v>
      </c>
      <c r="C71" s="41" t="s">
        <v>104</v>
      </c>
      <c r="D71" s="41" t="s">
        <v>134</v>
      </c>
      <c r="E71" s="40" t="s">
        <v>61</v>
      </c>
      <c r="F71" s="41" t="s">
        <v>135</v>
      </c>
      <c r="G71" s="1"/>
    </row>
    <row r="72" customFormat="false" ht="45" hidden="false" customHeight="true" outlineLevel="0" collapsed="false">
      <c r="A72" s="1"/>
      <c r="B72" s="40" t="n">
        <v>68</v>
      </c>
      <c r="C72" s="41" t="s">
        <v>104</v>
      </c>
      <c r="D72" s="41" t="s">
        <v>134</v>
      </c>
      <c r="E72" s="40" t="s">
        <v>61</v>
      </c>
      <c r="F72" s="41" t="s">
        <v>136</v>
      </c>
      <c r="G72" s="1"/>
    </row>
    <row r="73" customFormat="false" ht="30" hidden="false" customHeight="true" outlineLevel="0" collapsed="false">
      <c r="A73" s="1"/>
      <c r="B73" s="40" t="n">
        <v>69</v>
      </c>
      <c r="C73" s="41" t="s">
        <v>104</v>
      </c>
      <c r="D73" s="41" t="s">
        <v>134</v>
      </c>
      <c r="E73" s="40" t="s">
        <v>61</v>
      </c>
      <c r="F73" s="41" t="s">
        <v>137</v>
      </c>
      <c r="G73" s="1"/>
    </row>
    <row r="74" customFormat="false" ht="30" hidden="false" customHeight="true" outlineLevel="0" collapsed="false">
      <c r="A74" s="1"/>
      <c r="B74" s="40" t="n">
        <v>70</v>
      </c>
      <c r="C74" s="41" t="s">
        <v>104</v>
      </c>
      <c r="D74" s="41" t="s">
        <v>134</v>
      </c>
      <c r="E74" s="40" t="s">
        <v>61</v>
      </c>
      <c r="F74" s="41" t="s">
        <v>138</v>
      </c>
      <c r="G74" s="1"/>
    </row>
    <row r="75" customFormat="false" ht="30" hidden="false" customHeight="true" outlineLevel="0" collapsed="false">
      <c r="A75" s="1"/>
      <c r="B75" s="40" t="n">
        <v>71</v>
      </c>
      <c r="C75" s="41" t="s">
        <v>104</v>
      </c>
      <c r="D75" s="41" t="s">
        <v>134</v>
      </c>
      <c r="E75" s="40" t="s">
        <v>61</v>
      </c>
      <c r="F75" s="41" t="s">
        <v>139</v>
      </c>
      <c r="G75" s="1"/>
    </row>
    <row r="76" customFormat="false" ht="18" hidden="false" customHeight="true" outlineLevel="0" collapsed="false">
      <c r="A76" s="1"/>
      <c r="B76" s="40" t="n">
        <v>72</v>
      </c>
      <c r="C76" s="41" t="s">
        <v>104</v>
      </c>
      <c r="D76" s="41" t="s">
        <v>140</v>
      </c>
      <c r="E76" s="40" t="s">
        <v>61</v>
      </c>
      <c r="F76" s="41" t="s">
        <v>141</v>
      </c>
      <c r="G76" s="1"/>
    </row>
    <row r="77" customFormat="false" ht="18" hidden="false" customHeight="true" outlineLevel="0" collapsed="false">
      <c r="A77" s="1"/>
      <c r="B77" s="40" t="n">
        <v>73</v>
      </c>
      <c r="C77" s="41" t="s">
        <v>104</v>
      </c>
      <c r="D77" s="41" t="s">
        <v>140</v>
      </c>
      <c r="E77" s="40" t="s">
        <v>61</v>
      </c>
      <c r="F77" s="41" t="s">
        <v>142</v>
      </c>
      <c r="G77" s="1"/>
    </row>
    <row r="78" customFormat="false" ht="18" hidden="false" customHeight="true" outlineLevel="0" collapsed="false">
      <c r="A78" s="1"/>
      <c r="B78" s="40" t="n">
        <v>74</v>
      </c>
      <c r="C78" s="41" t="s">
        <v>104</v>
      </c>
      <c r="D78" s="41" t="s">
        <v>140</v>
      </c>
      <c r="E78" s="40" t="s">
        <v>61</v>
      </c>
      <c r="F78" s="41" t="s">
        <v>143</v>
      </c>
      <c r="G78" s="1"/>
    </row>
    <row r="79" customFormat="false" ht="18" hidden="false" customHeight="true" outlineLevel="0" collapsed="false">
      <c r="A79" s="1"/>
      <c r="B79" s="40" t="n">
        <v>75</v>
      </c>
      <c r="C79" s="41" t="s">
        <v>104</v>
      </c>
      <c r="D79" s="41" t="s">
        <v>140</v>
      </c>
      <c r="E79" s="40" t="s">
        <v>61</v>
      </c>
      <c r="F79" s="41" t="s">
        <v>144</v>
      </c>
      <c r="G79" s="1"/>
    </row>
    <row r="80" customFormat="false" ht="75" hidden="false" customHeight="true" outlineLevel="0" collapsed="false">
      <c r="A80" s="1"/>
      <c r="B80" s="40" t="n">
        <v>76</v>
      </c>
      <c r="C80" s="41" t="s">
        <v>104</v>
      </c>
      <c r="D80" s="41" t="s">
        <v>140</v>
      </c>
      <c r="E80" s="40" t="s">
        <v>61</v>
      </c>
      <c r="F80" s="41" t="s">
        <v>145</v>
      </c>
      <c r="G80" s="1"/>
    </row>
    <row r="81" customFormat="false" ht="18" hidden="false" customHeight="true" outlineLevel="0" collapsed="false">
      <c r="A81" s="1"/>
      <c r="B81" s="40" t="n">
        <v>77</v>
      </c>
      <c r="C81" s="41" t="s">
        <v>104</v>
      </c>
      <c r="D81" s="41" t="s">
        <v>146</v>
      </c>
      <c r="E81" s="40" t="s">
        <v>61</v>
      </c>
      <c r="F81" s="41" t="s">
        <v>147</v>
      </c>
      <c r="G81" s="1"/>
    </row>
    <row r="82" customFormat="false" ht="18" hidden="false" customHeight="true" outlineLevel="0" collapsed="false">
      <c r="A82" s="1"/>
      <c r="B82" s="40" t="n">
        <v>78</v>
      </c>
      <c r="C82" s="41" t="s">
        <v>104</v>
      </c>
      <c r="D82" s="41" t="s">
        <v>146</v>
      </c>
      <c r="E82" s="40" t="s">
        <v>61</v>
      </c>
      <c r="F82" s="41" t="s">
        <v>148</v>
      </c>
      <c r="G82" s="1"/>
    </row>
    <row r="83" customFormat="false" ht="30" hidden="false" customHeight="true" outlineLevel="0" collapsed="false">
      <c r="A83" s="1"/>
      <c r="B83" s="40" t="n">
        <v>79</v>
      </c>
      <c r="C83" s="41" t="s">
        <v>104</v>
      </c>
      <c r="D83" s="41" t="s">
        <v>146</v>
      </c>
      <c r="E83" s="40" t="s">
        <v>61</v>
      </c>
      <c r="F83" s="41" t="s">
        <v>149</v>
      </c>
      <c r="G83" s="1"/>
    </row>
    <row r="84" customFormat="false" ht="18" hidden="false" customHeight="true" outlineLevel="0" collapsed="false">
      <c r="A84" s="1"/>
      <c r="B84" s="40" t="n">
        <v>80</v>
      </c>
      <c r="C84" s="41" t="s">
        <v>104</v>
      </c>
      <c r="D84" s="41" t="s">
        <v>146</v>
      </c>
      <c r="E84" s="40" t="s">
        <v>61</v>
      </c>
      <c r="F84" s="41" t="s">
        <v>150</v>
      </c>
      <c r="G84" s="1"/>
    </row>
    <row r="85" customFormat="false" ht="30" hidden="false" customHeight="true" outlineLevel="0" collapsed="false">
      <c r="A85" s="1"/>
      <c r="B85" s="40" t="n">
        <v>81</v>
      </c>
      <c r="C85" s="41" t="s">
        <v>104</v>
      </c>
      <c r="D85" s="41" t="s">
        <v>151</v>
      </c>
      <c r="E85" s="40" t="s">
        <v>61</v>
      </c>
      <c r="F85" s="41" t="s">
        <v>152</v>
      </c>
      <c r="G85" s="1"/>
    </row>
    <row r="86" customFormat="false" ht="45" hidden="false" customHeight="true" outlineLevel="0" collapsed="false">
      <c r="A86" s="1"/>
      <c r="B86" s="40" t="n">
        <v>82</v>
      </c>
      <c r="C86" s="41" t="s">
        <v>104</v>
      </c>
      <c r="D86" s="41" t="s">
        <v>151</v>
      </c>
      <c r="E86" s="40" t="s">
        <v>61</v>
      </c>
      <c r="F86" s="41" t="s">
        <v>153</v>
      </c>
      <c r="G86" s="1"/>
    </row>
    <row r="87" customFormat="false" ht="45" hidden="false" customHeight="true" outlineLevel="0" collapsed="false">
      <c r="A87" s="1"/>
      <c r="B87" s="40" t="n">
        <v>83</v>
      </c>
      <c r="C87" s="41" t="s">
        <v>104</v>
      </c>
      <c r="D87" s="41" t="s">
        <v>151</v>
      </c>
      <c r="E87" s="40" t="s">
        <v>61</v>
      </c>
      <c r="F87" s="41" t="s">
        <v>154</v>
      </c>
      <c r="G87" s="1"/>
    </row>
    <row r="88" customFormat="false" ht="30" hidden="false" customHeight="true" outlineLevel="0" collapsed="false">
      <c r="A88" s="1"/>
      <c r="B88" s="40" t="n">
        <v>84</v>
      </c>
      <c r="C88" s="41" t="s">
        <v>104</v>
      </c>
      <c r="D88" s="41" t="s">
        <v>151</v>
      </c>
      <c r="E88" s="40" t="s">
        <v>61</v>
      </c>
      <c r="F88" s="41" t="s">
        <v>155</v>
      </c>
      <c r="G88" s="1"/>
    </row>
    <row r="89" customFormat="false" ht="18" hidden="false" customHeight="true" outlineLevel="0" collapsed="false">
      <c r="A89" s="1"/>
      <c r="B89" s="40" t="n">
        <v>85</v>
      </c>
      <c r="C89" s="41" t="s">
        <v>104</v>
      </c>
      <c r="D89" s="41" t="s">
        <v>151</v>
      </c>
      <c r="E89" s="40" t="s">
        <v>61</v>
      </c>
      <c r="F89" s="41" t="s">
        <v>156</v>
      </c>
      <c r="G89" s="1"/>
    </row>
    <row r="90" customFormat="false" ht="30" hidden="false" customHeight="true" outlineLevel="0" collapsed="false">
      <c r="A90" s="1"/>
      <c r="B90" s="40" t="n">
        <v>86</v>
      </c>
      <c r="C90" s="41" t="s">
        <v>104</v>
      </c>
      <c r="D90" s="41" t="s">
        <v>157</v>
      </c>
      <c r="E90" s="40" t="s">
        <v>54</v>
      </c>
      <c r="F90" s="41" t="s">
        <v>158</v>
      </c>
      <c r="G90" s="1"/>
    </row>
    <row r="91" customFormat="false" ht="30" hidden="false" customHeight="true" outlineLevel="0" collapsed="false">
      <c r="A91" s="1"/>
      <c r="B91" s="40" t="n">
        <v>87</v>
      </c>
      <c r="C91" s="41" t="s">
        <v>104</v>
      </c>
      <c r="D91" s="41" t="s">
        <v>157</v>
      </c>
      <c r="E91" s="40" t="s">
        <v>61</v>
      </c>
      <c r="F91" s="41" t="s">
        <v>159</v>
      </c>
      <c r="G91" s="1"/>
    </row>
    <row r="92" customFormat="false" ht="30" hidden="false" customHeight="true" outlineLevel="0" collapsed="false">
      <c r="A92" s="1"/>
      <c r="B92" s="40" t="n">
        <v>88</v>
      </c>
      <c r="C92" s="41" t="s">
        <v>104</v>
      </c>
      <c r="D92" s="41" t="s">
        <v>157</v>
      </c>
      <c r="E92" s="40" t="s">
        <v>61</v>
      </c>
      <c r="F92" s="41" t="s">
        <v>160</v>
      </c>
      <c r="G92" s="1"/>
    </row>
    <row r="93" customFormat="false" ht="30" hidden="false" customHeight="true" outlineLevel="0" collapsed="false">
      <c r="A93" s="1"/>
      <c r="B93" s="40" t="n">
        <v>89</v>
      </c>
      <c r="C93" s="41" t="s">
        <v>104</v>
      </c>
      <c r="D93" s="41" t="s">
        <v>157</v>
      </c>
      <c r="E93" s="40" t="s">
        <v>61</v>
      </c>
      <c r="F93" s="41" t="s">
        <v>161</v>
      </c>
      <c r="G93" s="1"/>
    </row>
    <row r="94" customFormat="false" ht="30" hidden="false" customHeight="true" outlineLevel="0" collapsed="false">
      <c r="A94" s="1"/>
      <c r="B94" s="40" t="n">
        <v>90</v>
      </c>
      <c r="C94" s="41" t="s">
        <v>104</v>
      </c>
      <c r="D94" s="41" t="s">
        <v>162</v>
      </c>
      <c r="E94" s="40" t="s">
        <v>54</v>
      </c>
      <c r="F94" s="41" t="s">
        <v>163</v>
      </c>
      <c r="G94" s="1"/>
    </row>
    <row r="95" customFormat="false" ht="30" hidden="false" customHeight="true" outlineLevel="0" collapsed="false">
      <c r="A95" s="1"/>
      <c r="B95" s="40" t="n">
        <v>91</v>
      </c>
      <c r="C95" s="41" t="s">
        <v>164</v>
      </c>
      <c r="D95" s="41"/>
      <c r="E95" s="40" t="s">
        <v>54</v>
      </c>
      <c r="F95" s="41" t="s">
        <v>165</v>
      </c>
      <c r="G95" s="1"/>
    </row>
    <row r="96" customFormat="false" ht="60" hidden="false" customHeight="true" outlineLevel="0" collapsed="false">
      <c r="A96" s="1"/>
      <c r="B96" s="40" t="n">
        <v>92</v>
      </c>
      <c r="C96" s="41" t="s">
        <v>164</v>
      </c>
      <c r="D96" s="41"/>
      <c r="E96" s="40" t="s">
        <v>61</v>
      </c>
      <c r="F96" s="41" t="s">
        <v>166</v>
      </c>
      <c r="G96" s="1"/>
    </row>
    <row r="97" customFormat="false" ht="30" hidden="false" customHeight="true" outlineLevel="0" collapsed="false">
      <c r="A97" s="1"/>
      <c r="B97" s="40" t="n">
        <v>93</v>
      </c>
      <c r="C97" s="41" t="s">
        <v>164</v>
      </c>
      <c r="D97" s="41"/>
      <c r="E97" s="40" t="s">
        <v>61</v>
      </c>
      <c r="F97" s="41" t="s">
        <v>167</v>
      </c>
      <c r="G97" s="1"/>
    </row>
    <row r="98" customFormat="false" ht="30" hidden="false" customHeight="true" outlineLevel="0" collapsed="false">
      <c r="A98" s="1"/>
      <c r="B98" s="40" t="n">
        <v>94</v>
      </c>
      <c r="C98" s="41" t="s">
        <v>164</v>
      </c>
      <c r="D98" s="41"/>
      <c r="E98" s="40" t="s">
        <v>61</v>
      </c>
      <c r="F98" s="41" t="s">
        <v>168</v>
      </c>
      <c r="G98" s="1"/>
    </row>
    <row r="99" customFormat="false" ht="30" hidden="false" customHeight="true" outlineLevel="0" collapsed="false">
      <c r="A99" s="1"/>
      <c r="B99" s="40" t="n">
        <v>95</v>
      </c>
      <c r="C99" s="41" t="s">
        <v>164</v>
      </c>
      <c r="D99" s="41"/>
      <c r="E99" s="40" t="s">
        <v>61</v>
      </c>
      <c r="F99" s="41" t="s">
        <v>169</v>
      </c>
      <c r="G99" s="1"/>
    </row>
    <row r="100" customFormat="false" ht="18" hidden="false" customHeight="true" outlineLevel="0" collapsed="false">
      <c r="A100" s="1"/>
      <c r="B100" s="40" t="n">
        <v>96</v>
      </c>
      <c r="C100" s="41" t="s">
        <v>164</v>
      </c>
      <c r="D100" s="41"/>
      <c r="E100" s="40" t="s">
        <v>61</v>
      </c>
      <c r="F100" s="41" t="s">
        <v>170</v>
      </c>
      <c r="G100" s="1"/>
    </row>
    <row r="101" customFormat="false" ht="45" hidden="false" customHeight="true" outlineLevel="0" collapsed="false">
      <c r="A101" s="1"/>
      <c r="B101" s="40" t="n">
        <v>97</v>
      </c>
      <c r="C101" s="41" t="s">
        <v>164</v>
      </c>
      <c r="D101" s="41"/>
      <c r="E101" s="40" t="s">
        <v>61</v>
      </c>
      <c r="F101" s="41" t="s">
        <v>171</v>
      </c>
      <c r="G101" s="1"/>
    </row>
    <row r="102" customFormat="false" ht="30" hidden="false" customHeight="true" outlineLevel="0" collapsed="false">
      <c r="A102" s="1"/>
      <c r="B102" s="40" t="n">
        <v>98</v>
      </c>
      <c r="C102" s="41" t="s">
        <v>172</v>
      </c>
      <c r="D102" s="41"/>
      <c r="E102" s="42" t="s">
        <v>173</v>
      </c>
      <c r="F102" s="41" t="s">
        <v>174</v>
      </c>
      <c r="G102" s="1"/>
    </row>
    <row r="103" customFormat="false" ht="18" hidden="false" customHeight="true" outlineLevel="0" collapsed="false">
      <c r="A103" s="1"/>
      <c r="B103" s="40" t="n">
        <v>99</v>
      </c>
      <c r="C103" s="41" t="s">
        <v>172</v>
      </c>
      <c r="D103" s="41"/>
      <c r="E103" s="42" t="s">
        <v>173</v>
      </c>
      <c r="F103" s="41" t="s">
        <v>175</v>
      </c>
      <c r="G103" s="1"/>
    </row>
    <row r="104" customFormat="false" ht="18" hidden="false" customHeight="true" outlineLevel="0" collapsed="false">
      <c r="A104" s="1"/>
      <c r="B104" s="40" t="n">
        <v>100</v>
      </c>
      <c r="C104" s="41" t="s">
        <v>172</v>
      </c>
      <c r="D104" s="41"/>
      <c r="E104" s="42" t="s">
        <v>173</v>
      </c>
      <c r="F104" s="41" t="s">
        <v>176</v>
      </c>
      <c r="G104" s="1"/>
    </row>
    <row r="105" customFormat="false" ht="30" hidden="false" customHeight="true" outlineLevel="0" collapsed="false">
      <c r="A105" s="1"/>
      <c r="B105" s="40" t="n">
        <v>101</v>
      </c>
      <c r="C105" s="41" t="s">
        <v>172</v>
      </c>
      <c r="D105" s="41"/>
      <c r="E105" s="42" t="s">
        <v>173</v>
      </c>
      <c r="F105" s="41" t="s">
        <v>177</v>
      </c>
      <c r="G105" s="1"/>
    </row>
    <row r="106" customFormat="false" ht="18" hidden="false" customHeight="true" outlineLevel="0" collapsed="false">
      <c r="A106" s="1"/>
      <c r="B106" s="40" t="n">
        <v>102</v>
      </c>
      <c r="C106" s="41" t="s">
        <v>172</v>
      </c>
      <c r="D106" s="41"/>
      <c r="E106" s="42" t="s">
        <v>173</v>
      </c>
      <c r="F106" s="41" t="s">
        <v>178</v>
      </c>
      <c r="G106" s="1"/>
    </row>
    <row r="107" customFormat="false" ht="18" hidden="false" customHeight="true" outlineLevel="0" collapsed="false">
      <c r="A107" s="1"/>
      <c r="B107" s="40" t="n">
        <v>103</v>
      </c>
      <c r="C107" s="41" t="s">
        <v>172</v>
      </c>
      <c r="D107" s="41"/>
      <c r="E107" s="42" t="s">
        <v>173</v>
      </c>
      <c r="F107" s="41" t="s">
        <v>179</v>
      </c>
      <c r="G107" s="1"/>
    </row>
    <row r="108" customFormat="false" ht="30" hidden="false" customHeight="true" outlineLevel="0" collapsed="false">
      <c r="A108" s="1"/>
      <c r="B108" s="40" t="n">
        <v>104</v>
      </c>
      <c r="C108" s="41" t="s">
        <v>172</v>
      </c>
      <c r="D108" s="41"/>
      <c r="E108" s="42" t="s">
        <v>173</v>
      </c>
      <c r="F108" s="41" t="s">
        <v>180</v>
      </c>
      <c r="G108" s="1"/>
    </row>
    <row r="109" customFormat="false" ht="18" hidden="false" customHeight="true" outlineLevel="0" collapsed="false">
      <c r="A109" s="1"/>
      <c r="B109" s="40" t="n">
        <v>105</v>
      </c>
      <c r="C109" s="41" t="s">
        <v>172</v>
      </c>
      <c r="D109" s="41"/>
      <c r="E109" s="42" t="s">
        <v>173</v>
      </c>
      <c r="F109" s="41" t="s">
        <v>181</v>
      </c>
      <c r="G109" s="1"/>
    </row>
    <row r="110" customFormat="false" ht="30" hidden="false" customHeight="true" outlineLevel="0" collapsed="false">
      <c r="A110" s="1"/>
      <c r="B110" s="40" t="n">
        <v>106</v>
      </c>
      <c r="C110" s="41" t="s">
        <v>172</v>
      </c>
      <c r="D110" s="41"/>
      <c r="E110" s="42" t="s">
        <v>173</v>
      </c>
      <c r="F110" s="41" t="s">
        <v>182</v>
      </c>
      <c r="G110" s="1"/>
    </row>
    <row r="111" customFormat="false" ht="18" hidden="false" customHeight="true" outlineLevel="0" collapsed="false">
      <c r="A111" s="1"/>
      <c r="B111" s="40" t="n">
        <v>107</v>
      </c>
      <c r="C111" s="41" t="s">
        <v>172</v>
      </c>
      <c r="D111" s="41"/>
      <c r="E111" s="42" t="s">
        <v>173</v>
      </c>
      <c r="F111" s="41" t="s">
        <v>183</v>
      </c>
      <c r="G111" s="1"/>
    </row>
    <row r="112" customFormat="false" ht="45" hidden="false" customHeight="true" outlineLevel="0" collapsed="false">
      <c r="A112" s="1"/>
      <c r="B112" s="40" t="n">
        <v>108</v>
      </c>
      <c r="C112" s="41" t="s">
        <v>184</v>
      </c>
      <c r="D112" s="41"/>
      <c r="E112" s="40" t="s">
        <v>61</v>
      </c>
      <c r="F112" s="41" t="s">
        <v>185</v>
      </c>
      <c r="G112" s="1"/>
    </row>
    <row r="113" customFormat="false" ht="30" hidden="false" customHeight="true" outlineLevel="0" collapsed="false">
      <c r="A113" s="1"/>
      <c r="B113" s="40" t="n">
        <v>109</v>
      </c>
      <c r="C113" s="41" t="s">
        <v>184</v>
      </c>
      <c r="D113" s="41"/>
      <c r="E113" s="40" t="s">
        <v>61</v>
      </c>
      <c r="F113" s="41" t="s">
        <v>186</v>
      </c>
      <c r="G113" s="1"/>
    </row>
    <row r="114" customFormat="false" ht="30" hidden="false" customHeight="true" outlineLevel="0" collapsed="false">
      <c r="A114" s="1"/>
      <c r="B114" s="40" t="n">
        <v>110</v>
      </c>
      <c r="C114" s="41" t="s">
        <v>184</v>
      </c>
      <c r="D114" s="41"/>
      <c r="E114" s="40" t="s">
        <v>61</v>
      </c>
      <c r="F114" s="41" t="s">
        <v>187</v>
      </c>
      <c r="G114" s="1"/>
    </row>
    <row r="115" customFormat="false" ht="30" hidden="false" customHeight="true" outlineLevel="0" collapsed="false">
      <c r="A115" s="1"/>
      <c r="B115" s="40" t="n">
        <v>111</v>
      </c>
      <c r="C115" s="41" t="s">
        <v>184</v>
      </c>
      <c r="D115" s="41"/>
      <c r="E115" s="40" t="s">
        <v>61</v>
      </c>
      <c r="F115" s="41" t="s">
        <v>188</v>
      </c>
      <c r="G115" s="1"/>
    </row>
    <row r="116" customFormat="false" ht="30" hidden="false" customHeight="true" outlineLevel="0" collapsed="false">
      <c r="A116" s="1"/>
      <c r="B116" s="40" t="n">
        <v>112</v>
      </c>
      <c r="C116" s="41" t="s">
        <v>184</v>
      </c>
      <c r="D116" s="41"/>
      <c r="E116" s="40" t="s">
        <v>61</v>
      </c>
      <c r="F116" s="41" t="s">
        <v>189</v>
      </c>
      <c r="G116" s="1"/>
    </row>
    <row r="117" customFormat="false" ht="30" hidden="false" customHeight="true" outlineLevel="0" collapsed="false">
      <c r="A117" s="1"/>
      <c r="B117" s="40" t="n">
        <v>113</v>
      </c>
      <c r="C117" s="41" t="s">
        <v>184</v>
      </c>
      <c r="D117" s="41"/>
      <c r="E117" s="40" t="s">
        <v>61</v>
      </c>
      <c r="F117" s="41" t="s">
        <v>190</v>
      </c>
      <c r="G117" s="1"/>
    </row>
    <row r="118" customFormat="false" ht="30" hidden="false" customHeight="true" outlineLevel="0" collapsed="false">
      <c r="A118" s="1"/>
      <c r="B118" s="40" t="n">
        <v>114</v>
      </c>
      <c r="C118" s="41" t="s">
        <v>184</v>
      </c>
      <c r="D118" s="41"/>
      <c r="E118" s="40" t="s">
        <v>61</v>
      </c>
      <c r="F118" s="41" t="s">
        <v>191</v>
      </c>
      <c r="G118" s="1"/>
    </row>
    <row r="119" customFormat="false" ht="18" hidden="false" customHeight="true" outlineLevel="0" collapsed="false">
      <c r="A119" s="1"/>
      <c r="B119" s="40" t="n">
        <v>115</v>
      </c>
      <c r="C119" s="41" t="s">
        <v>184</v>
      </c>
      <c r="D119" s="41"/>
      <c r="E119" s="40" t="s">
        <v>61</v>
      </c>
      <c r="F119" s="41" t="s">
        <v>192</v>
      </c>
      <c r="G119" s="1"/>
    </row>
    <row r="120" customFormat="false" ht="18" hidden="false" customHeight="true" outlineLevel="0" collapsed="false">
      <c r="A120" s="1"/>
      <c r="B120" s="40" t="n">
        <v>116</v>
      </c>
      <c r="C120" s="41" t="s">
        <v>193</v>
      </c>
      <c r="D120" s="41"/>
      <c r="E120" s="40" t="s">
        <v>61</v>
      </c>
      <c r="F120" s="41" t="s">
        <v>194</v>
      </c>
      <c r="G120" s="1"/>
    </row>
    <row r="121" customFormat="false" ht="45" hidden="false" customHeight="true" outlineLevel="0" collapsed="false">
      <c r="A121" s="1"/>
      <c r="B121" s="40" t="n">
        <v>117</v>
      </c>
      <c r="C121" s="41" t="s">
        <v>193</v>
      </c>
      <c r="D121" s="41"/>
      <c r="E121" s="40" t="s">
        <v>61</v>
      </c>
      <c r="F121" s="41" t="s">
        <v>195</v>
      </c>
      <c r="G121" s="1"/>
    </row>
    <row r="122" customFormat="false" ht="30" hidden="false" customHeight="true" outlineLevel="0" collapsed="false">
      <c r="A122" s="1"/>
      <c r="B122" s="40" t="n">
        <v>118</v>
      </c>
      <c r="C122" s="41" t="s">
        <v>193</v>
      </c>
      <c r="D122" s="41"/>
      <c r="E122" s="40" t="s">
        <v>61</v>
      </c>
      <c r="F122" s="41" t="s">
        <v>196</v>
      </c>
      <c r="G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</row>
    <row r="201" customFormat="false" ht="15" hidden="false" customHeight="false" outlineLevel="0" collapsed="false">
      <c r="A201" s="1"/>
      <c r="B201" s="1"/>
      <c r="C201" s="1"/>
      <c r="D201" s="1"/>
      <c r="E201" s="1"/>
      <c r="F201" s="1"/>
      <c r="G201" s="1"/>
    </row>
    <row r="202" customFormat="false" ht="15" hidden="false" customHeight="false" outlineLevel="0" collapsed="false">
      <c r="A202" s="1"/>
      <c r="B202" s="1"/>
      <c r="C202" s="1"/>
      <c r="D202" s="1"/>
      <c r="E202" s="1"/>
      <c r="F202" s="1"/>
      <c r="G202" s="1"/>
    </row>
    <row r="203" customFormat="false" ht="15" hidden="false" customHeight="false" outlineLevel="0" collapsed="false">
      <c r="A203" s="1"/>
      <c r="B203" s="1"/>
      <c r="C203" s="1"/>
      <c r="D203" s="1"/>
      <c r="E203" s="1"/>
      <c r="F203" s="1"/>
      <c r="G203" s="1"/>
    </row>
    <row r="204" customFormat="false" ht="15" hidden="false" customHeight="false" outlineLevel="0" collapsed="false">
      <c r="A204" s="1"/>
      <c r="B204" s="1"/>
      <c r="C204" s="1"/>
      <c r="D204" s="1"/>
      <c r="E204" s="1"/>
      <c r="F204" s="1"/>
      <c r="G204" s="1"/>
    </row>
    <row r="205" customFormat="false" ht="15" hidden="false" customHeight="false" outlineLevel="0" collapsed="false">
      <c r="A205" s="1"/>
      <c r="B205" s="1"/>
      <c r="C205" s="1"/>
      <c r="D205" s="1"/>
      <c r="E205" s="1"/>
      <c r="F205" s="1"/>
      <c r="G205" s="1"/>
    </row>
    <row r="206" customFormat="false" ht="15" hidden="false" customHeight="false" outlineLevel="0" collapsed="false">
      <c r="A206" s="1"/>
      <c r="B206" s="1"/>
      <c r="C206" s="1"/>
      <c r="D206" s="1"/>
      <c r="E206" s="1"/>
      <c r="F206" s="1"/>
      <c r="G206" s="1"/>
    </row>
    <row r="207" customFormat="false" ht="15" hidden="false" customHeight="false" outlineLevel="0" collapsed="false">
      <c r="A207" s="1"/>
      <c r="B207" s="1"/>
      <c r="C207" s="1"/>
      <c r="D207" s="1"/>
      <c r="E207" s="1"/>
      <c r="F207" s="1"/>
      <c r="G207" s="1"/>
    </row>
    <row r="208" customFormat="false" ht="15" hidden="false" customHeight="false" outlineLevel="0" collapsed="false">
      <c r="A208" s="1"/>
      <c r="B208" s="1"/>
      <c r="C208" s="1"/>
      <c r="D208" s="1"/>
      <c r="E208" s="1"/>
      <c r="F208" s="1"/>
      <c r="G208" s="1"/>
    </row>
    <row r="209" customFormat="false" ht="15" hidden="false" customHeight="false" outlineLevel="0" collapsed="false">
      <c r="A209" s="1"/>
      <c r="B209" s="1"/>
      <c r="C209" s="1"/>
      <c r="D209" s="1"/>
      <c r="E209" s="1"/>
      <c r="F209" s="1"/>
      <c r="G209" s="1"/>
    </row>
    <row r="210" customFormat="false" ht="15" hidden="false" customHeight="false" outlineLevel="0" collapsed="false">
      <c r="A210" s="1"/>
      <c r="B210" s="1"/>
      <c r="C210" s="1"/>
      <c r="D210" s="1"/>
      <c r="E210" s="1"/>
      <c r="F210" s="1"/>
      <c r="G210" s="1"/>
    </row>
    <row r="211" customFormat="false" ht="15" hidden="false" customHeight="false" outlineLevel="0" collapsed="false">
      <c r="A211" s="1"/>
      <c r="B211" s="1"/>
      <c r="C211" s="1"/>
      <c r="D211" s="1"/>
      <c r="E211" s="1"/>
      <c r="F211" s="1"/>
      <c r="G211" s="1"/>
    </row>
    <row r="212" customFormat="false" ht="15" hidden="false" customHeight="false" outlineLevel="0" collapsed="false">
      <c r="A212" s="1"/>
      <c r="B212" s="1"/>
      <c r="C212" s="1"/>
      <c r="D212" s="1"/>
      <c r="E212" s="1"/>
      <c r="F212" s="1"/>
      <c r="G212" s="1"/>
    </row>
    <row r="213" customFormat="false" ht="15" hidden="false" customHeight="false" outlineLevel="0" collapsed="false">
      <c r="A213" s="1"/>
      <c r="B213" s="1"/>
      <c r="C213" s="1"/>
      <c r="D213" s="1"/>
      <c r="E213" s="1"/>
      <c r="F213" s="1"/>
      <c r="G213" s="1"/>
    </row>
    <row r="214" customFormat="false" ht="15" hidden="false" customHeight="false" outlineLevel="0" collapsed="false">
      <c r="A214" s="1"/>
      <c r="B214" s="1"/>
      <c r="C214" s="1"/>
      <c r="D214" s="1"/>
      <c r="E214" s="1"/>
      <c r="F214" s="1"/>
      <c r="G214" s="1"/>
    </row>
    <row r="215" customFormat="false" ht="15" hidden="false" customHeight="false" outlineLevel="0" collapsed="false">
      <c r="A215" s="1"/>
      <c r="B215" s="1"/>
      <c r="C215" s="1"/>
      <c r="D215" s="1"/>
      <c r="E215" s="1"/>
      <c r="F215" s="1"/>
      <c r="G215" s="1"/>
    </row>
    <row r="216" customFormat="false" ht="15" hidden="false" customHeight="false" outlineLevel="0" collapsed="false">
      <c r="A216" s="1"/>
      <c r="B216" s="1"/>
      <c r="C216" s="1"/>
      <c r="D216" s="1"/>
      <c r="E216" s="1"/>
      <c r="F216" s="1"/>
      <c r="G216" s="1"/>
    </row>
    <row r="217" customFormat="false" ht="15" hidden="false" customHeight="false" outlineLevel="0" collapsed="false">
      <c r="A217" s="1"/>
      <c r="B217" s="1"/>
      <c r="C217" s="1"/>
      <c r="D217" s="1"/>
      <c r="E217" s="1"/>
      <c r="F217" s="1"/>
      <c r="G217" s="1"/>
    </row>
    <row r="218" customFormat="false" ht="15" hidden="false" customHeight="false" outlineLevel="0" collapsed="false">
      <c r="A218" s="1"/>
      <c r="B218" s="1"/>
      <c r="C218" s="1"/>
      <c r="D218" s="1"/>
      <c r="E218" s="1"/>
      <c r="F218" s="1"/>
      <c r="G218" s="1"/>
    </row>
    <row r="219" customFormat="false" ht="15" hidden="false" customHeight="false" outlineLevel="0" collapsed="false">
      <c r="A219" s="1"/>
      <c r="B219" s="1"/>
      <c r="C219" s="1"/>
      <c r="D219" s="1"/>
      <c r="E219" s="1"/>
      <c r="F219" s="1"/>
      <c r="G219" s="1"/>
    </row>
    <row r="220" customFormat="false" ht="15" hidden="false" customHeight="false" outlineLevel="0" collapsed="false">
      <c r="A220" s="1"/>
      <c r="B220" s="1"/>
      <c r="C220" s="1"/>
      <c r="D220" s="1"/>
      <c r="E220" s="1"/>
      <c r="F220" s="1"/>
      <c r="G220" s="1"/>
    </row>
    <row r="221" customFormat="false" ht="15" hidden="false" customHeight="false" outlineLevel="0" collapsed="false">
      <c r="A221" s="1"/>
      <c r="B221" s="1"/>
      <c r="C221" s="1"/>
      <c r="D221" s="1"/>
      <c r="E221" s="1"/>
      <c r="F221" s="1"/>
      <c r="G221" s="1"/>
    </row>
    <row r="222" customFormat="false" ht="15" hidden="false" customHeight="false" outlineLevel="0" collapsed="false">
      <c r="A222" s="1"/>
      <c r="B222" s="1"/>
      <c r="C222" s="1"/>
      <c r="D222" s="1"/>
      <c r="E222" s="1"/>
      <c r="F222" s="1"/>
      <c r="G222" s="1"/>
    </row>
    <row r="223" customFormat="false" ht="15" hidden="false" customHeight="false" outlineLevel="0" collapsed="false">
      <c r="A223" s="1"/>
      <c r="B223" s="1"/>
      <c r="C223" s="1"/>
      <c r="D223" s="1"/>
      <c r="E223" s="1"/>
      <c r="F223" s="1"/>
      <c r="G223" s="1"/>
    </row>
    <row r="224" customFormat="false" ht="15" hidden="false" customHeight="false" outlineLevel="0" collapsed="false">
      <c r="A224" s="1"/>
      <c r="B224" s="1"/>
      <c r="C224" s="1"/>
      <c r="D224" s="1"/>
      <c r="E224" s="1"/>
      <c r="F224" s="1"/>
      <c r="G224" s="1"/>
    </row>
    <row r="225" customFormat="false" ht="15" hidden="false" customHeight="false" outlineLevel="0" collapsed="false">
      <c r="A225" s="1"/>
      <c r="B225" s="1"/>
      <c r="C225" s="1"/>
      <c r="D225" s="1"/>
      <c r="E225" s="1"/>
      <c r="F225" s="1"/>
      <c r="G225" s="1"/>
    </row>
    <row r="226" customFormat="false" ht="15" hidden="false" customHeight="false" outlineLevel="0" collapsed="false">
      <c r="A226" s="1"/>
      <c r="B226" s="1"/>
      <c r="C226" s="1"/>
      <c r="D226" s="1"/>
      <c r="E226" s="1"/>
      <c r="F226" s="1"/>
      <c r="G226" s="1"/>
    </row>
    <row r="227" customFormat="false" ht="15" hidden="false" customHeight="false" outlineLevel="0" collapsed="false">
      <c r="A227" s="1"/>
      <c r="B227" s="1"/>
      <c r="C227" s="1"/>
      <c r="D227" s="1"/>
      <c r="E227" s="1"/>
      <c r="F227" s="1"/>
      <c r="G227" s="1"/>
    </row>
    <row r="228" customFormat="false" ht="15" hidden="false" customHeight="false" outlineLevel="0" collapsed="false">
      <c r="A228" s="1"/>
      <c r="B228" s="1"/>
      <c r="C228" s="1"/>
      <c r="D228" s="1"/>
      <c r="E228" s="1"/>
      <c r="F228" s="1"/>
      <c r="G228" s="1"/>
    </row>
    <row r="229" customFormat="false" ht="15" hidden="false" customHeight="false" outlineLevel="0" collapsed="false">
      <c r="A229" s="1"/>
      <c r="B229" s="1"/>
      <c r="C229" s="1"/>
      <c r="D229" s="1"/>
      <c r="E229" s="1"/>
      <c r="F229" s="1"/>
      <c r="G229" s="1"/>
    </row>
    <row r="230" customFormat="false" ht="15" hidden="false" customHeight="false" outlineLevel="0" collapsed="false">
      <c r="A230" s="1"/>
      <c r="B230" s="1"/>
      <c r="C230" s="1"/>
      <c r="D230" s="1"/>
      <c r="E230" s="1"/>
      <c r="F230" s="1"/>
      <c r="G230" s="1"/>
    </row>
    <row r="231" customFormat="false" ht="15" hidden="false" customHeight="false" outlineLevel="0" collapsed="false">
      <c r="A231" s="1"/>
      <c r="B231" s="1"/>
      <c r="C231" s="1"/>
      <c r="D231" s="1"/>
      <c r="E231" s="1"/>
      <c r="F231" s="1"/>
      <c r="G231" s="1"/>
    </row>
    <row r="232" customFormat="false" ht="15" hidden="false" customHeight="false" outlineLevel="0" collapsed="false">
      <c r="A232" s="1"/>
      <c r="B232" s="1"/>
      <c r="C232" s="1"/>
      <c r="D232" s="1"/>
      <c r="E232" s="1"/>
      <c r="F232" s="1"/>
      <c r="G232" s="1"/>
    </row>
    <row r="233" customFormat="false" ht="15" hidden="false" customHeight="false" outlineLevel="0" collapsed="false">
      <c r="A233" s="1"/>
      <c r="B233" s="1"/>
      <c r="C233" s="1"/>
      <c r="D233" s="1"/>
      <c r="E233" s="1"/>
      <c r="F233" s="1"/>
      <c r="G233" s="1"/>
    </row>
    <row r="234" customFormat="false" ht="15" hidden="false" customHeight="false" outlineLevel="0" collapsed="false">
      <c r="A234" s="1"/>
      <c r="B234" s="1"/>
      <c r="C234" s="1"/>
      <c r="D234" s="1"/>
      <c r="E234" s="1"/>
      <c r="F234" s="1"/>
      <c r="G234" s="1"/>
    </row>
    <row r="235" customFormat="false" ht="15" hidden="false" customHeight="false" outlineLevel="0" collapsed="false">
      <c r="A235" s="1"/>
      <c r="B235" s="1"/>
      <c r="C235" s="1"/>
      <c r="D235" s="1"/>
      <c r="E235" s="1"/>
      <c r="F235" s="1"/>
      <c r="G235" s="1"/>
    </row>
    <row r="236" customFormat="false" ht="15" hidden="false" customHeight="false" outlineLevel="0" collapsed="false">
      <c r="A236" s="1"/>
      <c r="B236" s="1"/>
      <c r="C236" s="1"/>
      <c r="D236" s="1"/>
      <c r="E236" s="1"/>
      <c r="F236" s="1"/>
      <c r="G236" s="1"/>
    </row>
    <row r="237" customFormat="false" ht="15" hidden="false" customHeight="false" outlineLevel="0" collapsed="false">
      <c r="A237" s="1"/>
      <c r="B237" s="1"/>
      <c r="C237" s="1"/>
      <c r="D237" s="1"/>
      <c r="E237" s="1"/>
      <c r="F237" s="1"/>
      <c r="G237" s="1"/>
    </row>
    <row r="238" customFormat="false" ht="15" hidden="false" customHeight="false" outlineLevel="0" collapsed="false">
      <c r="A238" s="1"/>
      <c r="B238" s="1"/>
      <c r="C238" s="1"/>
      <c r="D238" s="1"/>
      <c r="E238" s="1"/>
      <c r="F238" s="1"/>
      <c r="G238" s="1"/>
    </row>
    <row r="239" customFormat="false" ht="15" hidden="false" customHeight="false" outlineLevel="0" collapsed="false">
      <c r="A239" s="1"/>
      <c r="B239" s="1"/>
      <c r="C239" s="1"/>
      <c r="D239" s="1"/>
      <c r="E239" s="1"/>
      <c r="F239" s="1"/>
      <c r="G239" s="1"/>
    </row>
    <row r="240" customFormat="false" ht="15" hidden="false" customHeight="false" outlineLevel="0" collapsed="false">
      <c r="A240" s="1"/>
      <c r="B240" s="1"/>
      <c r="C240" s="1"/>
      <c r="D240" s="1"/>
      <c r="E240" s="1"/>
      <c r="F240" s="1"/>
      <c r="G240" s="1"/>
    </row>
    <row r="241" customFormat="false" ht="15" hidden="false" customHeight="false" outlineLevel="0" collapsed="false">
      <c r="A241" s="1"/>
      <c r="B241" s="1"/>
      <c r="C241" s="1"/>
      <c r="D241" s="1"/>
      <c r="E241" s="1"/>
      <c r="F241" s="1"/>
      <c r="G241" s="1"/>
    </row>
    <row r="242" customFormat="false" ht="15" hidden="false" customHeight="false" outlineLevel="0" collapsed="false">
      <c r="A242" s="1"/>
      <c r="B242" s="1"/>
      <c r="C242" s="1"/>
      <c r="D242" s="1"/>
      <c r="E242" s="1"/>
      <c r="F242" s="1"/>
      <c r="G242" s="1"/>
    </row>
    <row r="243" customFormat="false" ht="15" hidden="false" customHeight="false" outlineLevel="0" collapsed="false">
      <c r="A243" s="1"/>
      <c r="B243" s="1"/>
      <c r="C243" s="1"/>
      <c r="D243" s="1"/>
      <c r="E243" s="1"/>
      <c r="F243" s="1"/>
      <c r="G243" s="1"/>
    </row>
    <row r="244" customFormat="false" ht="15" hidden="false" customHeight="false" outlineLevel="0" collapsed="false">
      <c r="A244" s="1"/>
      <c r="B244" s="1"/>
      <c r="C244" s="1"/>
      <c r="D244" s="1"/>
      <c r="E244" s="1"/>
      <c r="F244" s="1"/>
      <c r="G244" s="1"/>
    </row>
    <row r="245" customFormat="false" ht="15" hidden="false" customHeight="false" outlineLevel="0" collapsed="false">
      <c r="A245" s="1"/>
      <c r="B245" s="1"/>
      <c r="C245" s="1"/>
      <c r="D245" s="1"/>
      <c r="E245" s="1"/>
      <c r="F245" s="1"/>
      <c r="G245" s="1"/>
    </row>
    <row r="246" customFormat="false" ht="15" hidden="false" customHeight="false" outlineLevel="0" collapsed="false">
      <c r="A246" s="1"/>
      <c r="B246" s="1"/>
      <c r="C246" s="1"/>
      <c r="D246" s="1"/>
      <c r="E246" s="1"/>
      <c r="F246" s="1"/>
      <c r="G246" s="1"/>
    </row>
    <row r="247" customFormat="false" ht="15" hidden="false" customHeight="false" outlineLevel="0" collapsed="false">
      <c r="A247" s="1"/>
      <c r="B247" s="1"/>
      <c r="C247" s="1"/>
      <c r="D247" s="1"/>
      <c r="E247" s="1"/>
      <c r="F247" s="1"/>
      <c r="G247" s="1"/>
    </row>
    <row r="248" customFormat="false" ht="15" hidden="false" customHeight="false" outlineLevel="0" collapsed="false">
      <c r="A248" s="1"/>
      <c r="B248" s="1"/>
      <c r="C248" s="1"/>
      <c r="D248" s="1"/>
      <c r="E248" s="1"/>
      <c r="F248" s="1"/>
      <c r="G248" s="1"/>
    </row>
    <row r="249" customFormat="false" ht="15" hidden="false" customHeight="false" outlineLevel="0" collapsed="false">
      <c r="A249" s="1"/>
      <c r="B249" s="1"/>
      <c r="C249" s="1"/>
      <c r="D249" s="1"/>
      <c r="E249" s="1"/>
      <c r="F249" s="1"/>
      <c r="G249" s="1"/>
    </row>
    <row r="250" customFormat="false" ht="15" hidden="false" customHeight="false" outlineLevel="0" collapsed="false">
      <c r="A250" s="1"/>
      <c r="B250" s="1"/>
      <c r="C250" s="1"/>
      <c r="D250" s="1"/>
      <c r="E250" s="1"/>
      <c r="F250" s="1"/>
      <c r="G250" s="1"/>
    </row>
    <row r="251" customFormat="false" ht="15" hidden="false" customHeight="false" outlineLevel="0" collapsed="false">
      <c r="A251" s="1"/>
      <c r="B251" s="1"/>
      <c r="C251" s="1"/>
      <c r="D251" s="1"/>
      <c r="E251" s="1"/>
      <c r="F251" s="1"/>
      <c r="G251" s="1"/>
    </row>
    <row r="252" customFormat="false" ht="15" hidden="false" customHeight="false" outlineLevel="0" collapsed="false">
      <c r="A252" s="1"/>
      <c r="B252" s="1"/>
      <c r="C252" s="1"/>
      <c r="D252" s="1"/>
      <c r="E252" s="1"/>
      <c r="F252" s="1"/>
      <c r="G252" s="1"/>
    </row>
    <row r="253" customFormat="false" ht="15" hidden="false" customHeight="false" outlineLevel="0" collapsed="false">
      <c r="A253" s="1"/>
      <c r="B253" s="1"/>
      <c r="C253" s="1"/>
      <c r="D253" s="1"/>
      <c r="E253" s="1"/>
      <c r="F253" s="1"/>
      <c r="G253" s="1"/>
    </row>
    <row r="254" customFormat="false" ht="15" hidden="false" customHeight="false" outlineLevel="0" collapsed="false">
      <c r="A254" s="1"/>
      <c r="B254" s="1"/>
      <c r="C254" s="1"/>
      <c r="D254" s="1"/>
      <c r="E254" s="1"/>
      <c r="F254" s="1"/>
      <c r="G254" s="1"/>
    </row>
    <row r="255" customFormat="false" ht="15" hidden="false" customHeight="false" outlineLevel="0" collapsed="false">
      <c r="A255" s="1"/>
      <c r="B255" s="1"/>
      <c r="C255" s="1"/>
      <c r="D255" s="1"/>
      <c r="E255" s="1"/>
      <c r="F255" s="1"/>
      <c r="G255" s="1"/>
    </row>
    <row r="256" customFormat="false" ht="15" hidden="false" customHeight="false" outlineLevel="0" collapsed="false">
      <c r="A256" s="1"/>
      <c r="B256" s="1"/>
      <c r="C256" s="1"/>
      <c r="D256" s="1"/>
      <c r="E256" s="1"/>
      <c r="F256" s="1"/>
      <c r="G256" s="1"/>
    </row>
    <row r="257" customFormat="false" ht="15" hidden="false" customHeight="false" outlineLevel="0" collapsed="false">
      <c r="A257" s="1"/>
      <c r="B257" s="1"/>
      <c r="C257" s="1"/>
      <c r="D257" s="1"/>
      <c r="E257" s="1"/>
      <c r="F257" s="1"/>
      <c r="G257" s="1"/>
    </row>
    <row r="258" customFormat="false" ht="15" hidden="false" customHeight="false" outlineLevel="0" collapsed="false">
      <c r="A258" s="1"/>
      <c r="B258" s="1"/>
      <c r="C258" s="1"/>
      <c r="D258" s="1"/>
      <c r="E258" s="1"/>
      <c r="F258" s="1"/>
      <c r="G258" s="1"/>
    </row>
    <row r="259" customFormat="false" ht="15" hidden="false" customHeight="false" outlineLevel="0" collapsed="false">
      <c r="A259" s="1"/>
      <c r="B259" s="1"/>
      <c r="C259" s="1"/>
      <c r="D259" s="1"/>
      <c r="E259" s="1"/>
      <c r="F259" s="1"/>
      <c r="G259" s="1"/>
    </row>
    <row r="260" customFormat="false" ht="15" hidden="false" customHeight="false" outlineLevel="0" collapsed="false">
      <c r="A260" s="1"/>
      <c r="B260" s="1"/>
      <c r="C260" s="1"/>
      <c r="D260" s="1"/>
      <c r="E260" s="1"/>
      <c r="F260" s="1"/>
      <c r="G260" s="1"/>
    </row>
    <row r="261" customFormat="false" ht="15" hidden="false" customHeight="false" outlineLevel="0" collapsed="false">
      <c r="A261" s="1"/>
      <c r="B261" s="1"/>
      <c r="C261" s="1"/>
      <c r="D261" s="1"/>
      <c r="E261" s="1"/>
      <c r="F261" s="1"/>
      <c r="G261" s="1"/>
    </row>
    <row r="262" customFormat="false" ht="15" hidden="false" customHeight="false" outlineLevel="0" collapsed="false">
      <c r="A262" s="1"/>
      <c r="B262" s="1"/>
      <c r="C262" s="1"/>
      <c r="D262" s="1"/>
      <c r="E262" s="1"/>
      <c r="F262" s="1"/>
      <c r="G262" s="1"/>
    </row>
    <row r="263" customFormat="false" ht="15" hidden="false" customHeight="false" outlineLevel="0" collapsed="false">
      <c r="A263" s="1"/>
      <c r="B263" s="1"/>
      <c r="C263" s="1"/>
      <c r="D263" s="1"/>
      <c r="E263" s="1"/>
      <c r="F263" s="1"/>
      <c r="G263" s="1"/>
    </row>
    <row r="264" customFormat="false" ht="15" hidden="false" customHeight="false" outlineLevel="0" collapsed="false">
      <c r="A264" s="1"/>
      <c r="B264" s="1"/>
      <c r="C264" s="1"/>
      <c r="D264" s="1"/>
      <c r="E264" s="1"/>
      <c r="F264" s="1"/>
      <c r="G264" s="1"/>
    </row>
    <row r="265" customFormat="false" ht="15" hidden="false" customHeight="false" outlineLevel="0" collapsed="false">
      <c r="A265" s="1"/>
      <c r="B265" s="1"/>
      <c r="C265" s="1"/>
      <c r="D265" s="1"/>
      <c r="E265" s="1"/>
      <c r="F265" s="1"/>
      <c r="G265" s="1"/>
    </row>
    <row r="266" customFormat="false" ht="15" hidden="false" customHeight="false" outlineLevel="0" collapsed="false">
      <c r="A266" s="1"/>
      <c r="B266" s="1"/>
      <c r="C266" s="1"/>
      <c r="D266" s="1"/>
      <c r="E266" s="1"/>
      <c r="F266" s="1"/>
      <c r="G266" s="1"/>
    </row>
    <row r="267" customFormat="false" ht="15" hidden="false" customHeight="false" outlineLevel="0" collapsed="false">
      <c r="A267" s="1"/>
      <c r="B267" s="1"/>
      <c r="C267" s="1"/>
      <c r="D267" s="1"/>
      <c r="E267" s="1"/>
      <c r="F267" s="1"/>
      <c r="G267" s="1"/>
    </row>
    <row r="268" customFormat="false" ht="15" hidden="false" customHeight="false" outlineLevel="0" collapsed="false">
      <c r="A268" s="1"/>
      <c r="B268" s="1"/>
      <c r="C268" s="1"/>
      <c r="D268" s="1"/>
      <c r="E268" s="1"/>
      <c r="F268" s="1"/>
      <c r="G268" s="1"/>
    </row>
    <row r="269" customFormat="false" ht="15" hidden="false" customHeight="false" outlineLevel="0" collapsed="false">
      <c r="A269" s="1"/>
      <c r="B269" s="1"/>
      <c r="C269" s="1"/>
      <c r="D269" s="1"/>
      <c r="E269" s="1"/>
      <c r="F269" s="1"/>
      <c r="G269" s="1"/>
    </row>
    <row r="270" customFormat="false" ht="15" hidden="false" customHeight="false" outlineLevel="0" collapsed="false">
      <c r="A270" s="1"/>
      <c r="B270" s="1"/>
      <c r="C270" s="1"/>
      <c r="D270" s="1"/>
      <c r="E270" s="1"/>
      <c r="F270" s="1"/>
      <c r="G270" s="1"/>
    </row>
    <row r="271" customFormat="false" ht="15" hidden="false" customHeight="false" outlineLevel="0" collapsed="false">
      <c r="A271" s="1"/>
      <c r="B271" s="1"/>
      <c r="C271" s="1"/>
      <c r="D271" s="1"/>
      <c r="E271" s="1"/>
      <c r="F271" s="1"/>
      <c r="G271" s="1"/>
    </row>
    <row r="272" customFormat="false" ht="15" hidden="false" customHeight="false" outlineLevel="0" collapsed="false">
      <c r="A272" s="1"/>
      <c r="B272" s="1"/>
      <c r="C272" s="1"/>
      <c r="D272" s="1"/>
      <c r="E272" s="1"/>
      <c r="F272" s="1"/>
      <c r="G272" s="1"/>
    </row>
    <row r="273" customFormat="false" ht="15" hidden="false" customHeight="false" outlineLevel="0" collapsed="false">
      <c r="A273" s="1"/>
      <c r="B273" s="1"/>
      <c r="C273" s="1"/>
      <c r="D273" s="1"/>
      <c r="E273" s="1"/>
      <c r="F273" s="1"/>
      <c r="G273" s="1"/>
    </row>
    <row r="274" customFormat="false" ht="15" hidden="false" customHeight="false" outlineLevel="0" collapsed="false">
      <c r="A274" s="1"/>
      <c r="B274" s="1"/>
      <c r="C274" s="1"/>
      <c r="D274" s="1"/>
      <c r="E274" s="1"/>
      <c r="F274" s="1"/>
      <c r="G274" s="1"/>
    </row>
    <row r="275" customFormat="false" ht="15" hidden="false" customHeight="false" outlineLevel="0" collapsed="false">
      <c r="A275" s="1"/>
      <c r="B275" s="1"/>
      <c r="C275" s="1"/>
      <c r="D275" s="1"/>
      <c r="E275" s="1"/>
      <c r="F275" s="1"/>
      <c r="G275" s="1"/>
    </row>
    <row r="276" customFormat="false" ht="15" hidden="false" customHeight="false" outlineLevel="0" collapsed="false">
      <c r="A276" s="1"/>
      <c r="B276" s="1"/>
      <c r="C276" s="1"/>
      <c r="D276" s="1"/>
      <c r="E276" s="1"/>
      <c r="F276" s="1"/>
      <c r="G276" s="1"/>
    </row>
    <row r="277" customFormat="false" ht="15" hidden="false" customHeight="false" outlineLevel="0" collapsed="false">
      <c r="A277" s="1"/>
      <c r="B277" s="1"/>
      <c r="C277" s="1"/>
      <c r="D277" s="1"/>
      <c r="E277" s="1"/>
      <c r="F277" s="1"/>
      <c r="G277" s="1"/>
    </row>
    <row r="278" customFormat="false" ht="15" hidden="false" customHeight="false" outlineLevel="0" collapsed="false">
      <c r="A278" s="1"/>
      <c r="B278" s="1"/>
      <c r="C278" s="1"/>
      <c r="D278" s="1"/>
      <c r="E278" s="1"/>
      <c r="F278" s="1"/>
      <c r="G278" s="1"/>
    </row>
    <row r="279" customFormat="false" ht="15" hidden="false" customHeight="false" outlineLevel="0" collapsed="false">
      <c r="A279" s="1"/>
      <c r="B279" s="1"/>
      <c r="C279" s="1"/>
      <c r="D279" s="1"/>
      <c r="E279" s="1"/>
      <c r="F279" s="1"/>
      <c r="G279" s="1"/>
    </row>
    <row r="280" customFormat="false" ht="15" hidden="false" customHeight="false" outlineLevel="0" collapsed="false">
      <c r="A280" s="1"/>
      <c r="B280" s="1"/>
      <c r="C280" s="1"/>
      <c r="D280" s="1"/>
      <c r="E280" s="1"/>
      <c r="F280" s="1"/>
      <c r="G280" s="1"/>
    </row>
    <row r="281" customFormat="false" ht="15" hidden="false" customHeight="false" outlineLevel="0" collapsed="false">
      <c r="A281" s="1"/>
      <c r="B281" s="1"/>
      <c r="C281" s="1"/>
      <c r="D281" s="1"/>
      <c r="E281" s="1"/>
      <c r="F281" s="1"/>
      <c r="G281" s="1"/>
    </row>
    <row r="282" customFormat="false" ht="15" hidden="false" customHeight="false" outlineLevel="0" collapsed="false">
      <c r="A282" s="1"/>
      <c r="B282" s="1"/>
      <c r="C282" s="1"/>
      <c r="D282" s="1"/>
      <c r="E282" s="1"/>
      <c r="F282" s="1"/>
      <c r="G282" s="1"/>
    </row>
    <row r="283" customFormat="false" ht="15" hidden="false" customHeight="false" outlineLevel="0" collapsed="false">
      <c r="A283" s="1"/>
      <c r="B283" s="1"/>
      <c r="C283" s="1"/>
      <c r="D283" s="1"/>
      <c r="E283" s="1"/>
      <c r="F283" s="1"/>
      <c r="G283" s="1"/>
    </row>
    <row r="284" customFormat="false" ht="15" hidden="false" customHeight="false" outlineLevel="0" collapsed="false">
      <c r="A284" s="1"/>
      <c r="B284" s="1"/>
      <c r="C284" s="1"/>
      <c r="D284" s="1"/>
      <c r="E284" s="1"/>
      <c r="F284" s="1"/>
      <c r="G284" s="1"/>
    </row>
    <row r="285" customFormat="false" ht="15" hidden="false" customHeight="false" outlineLevel="0" collapsed="false">
      <c r="A285" s="1"/>
      <c r="B285" s="1"/>
      <c r="C285" s="1"/>
      <c r="D285" s="1"/>
      <c r="E285" s="1"/>
      <c r="F285" s="1"/>
      <c r="G285" s="1"/>
    </row>
    <row r="286" customFormat="false" ht="15" hidden="false" customHeight="false" outlineLevel="0" collapsed="false">
      <c r="A286" s="1"/>
      <c r="B286" s="1"/>
      <c r="C286" s="1"/>
      <c r="D286" s="1"/>
      <c r="E286" s="1"/>
      <c r="F286" s="1"/>
      <c r="G286" s="1"/>
    </row>
    <row r="287" customFormat="false" ht="15" hidden="false" customHeight="false" outlineLevel="0" collapsed="false">
      <c r="A287" s="1"/>
      <c r="B287" s="1"/>
      <c r="C287" s="1"/>
      <c r="D287" s="1"/>
      <c r="E287" s="1"/>
      <c r="F287" s="1"/>
      <c r="G287" s="1"/>
    </row>
    <row r="288" customFormat="false" ht="15" hidden="false" customHeight="false" outlineLevel="0" collapsed="false">
      <c r="A288" s="1"/>
      <c r="B288" s="1"/>
      <c r="C288" s="1"/>
      <c r="D288" s="1"/>
      <c r="E288" s="1"/>
      <c r="F288" s="1"/>
      <c r="G288" s="1"/>
    </row>
    <row r="289" customFormat="false" ht="15" hidden="false" customHeight="false" outlineLevel="0" collapsed="false">
      <c r="A289" s="1"/>
      <c r="B289" s="1"/>
      <c r="C289" s="1"/>
      <c r="D289" s="1"/>
      <c r="E289" s="1"/>
      <c r="F289" s="1"/>
      <c r="G289" s="1"/>
    </row>
    <row r="290" customFormat="false" ht="15" hidden="false" customHeight="false" outlineLevel="0" collapsed="false">
      <c r="A290" s="1"/>
      <c r="B290" s="1"/>
      <c r="C290" s="1"/>
      <c r="D290" s="1"/>
      <c r="E290" s="1"/>
      <c r="F290" s="1"/>
      <c r="G290" s="1"/>
    </row>
    <row r="291" customFormat="false" ht="15" hidden="false" customHeight="false" outlineLevel="0" collapsed="false">
      <c r="A291" s="1"/>
      <c r="B291" s="1"/>
      <c r="C291" s="1"/>
      <c r="D291" s="1"/>
      <c r="E291" s="1"/>
      <c r="F291" s="1"/>
      <c r="G291" s="1"/>
    </row>
    <row r="292" customFormat="false" ht="15" hidden="false" customHeight="false" outlineLevel="0" collapsed="false">
      <c r="A292" s="1"/>
      <c r="B292" s="1"/>
      <c r="C292" s="1"/>
      <c r="D292" s="1"/>
      <c r="E292" s="1"/>
      <c r="F292" s="1"/>
      <c r="G292" s="1"/>
    </row>
    <row r="293" customFormat="false" ht="15" hidden="false" customHeight="false" outlineLevel="0" collapsed="false">
      <c r="A293" s="1"/>
      <c r="B293" s="1"/>
      <c r="C293" s="1"/>
      <c r="D293" s="1"/>
      <c r="E293" s="1"/>
      <c r="F293" s="1"/>
      <c r="G293" s="1"/>
    </row>
    <row r="294" customFormat="false" ht="15" hidden="false" customHeight="false" outlineLevel="0" collapsed="false">
      <c r="A294" s="1"/>
      <c r="B294" s="1"/>
      <c r="C294" s="1"/>
      <c r="D294" s="1"/>
      <c r="E294" s="1"/>
      <c r="F294" s="1"/>
      <c r="G294" s="1"/>
    </row>
    <row r="295" customFormat="false" ht="15" hidden="false" customHeight="false" outlineLevel="0" collapsed="false">
      <c r="A295" s="1"/>
      <c r="B295" s="1"/>
      <c r="C295" s="1"/>
      <c r="D295" s="1"/>
      <c r="E295" s="1"/>
      <c r="F295" s="1"/>
      <c r="G295" s="1"/>
    </row>
    <row r="296" customFormat="false" ht="15" hidden="false" customHeight="false" outlineLevel="0" collapsed="false">
      <c r="A296" s="1"/>
      <c r="B296" s="1"/>
      <c r="C296" s="1"/>
      <c r="D296" s="1"/>
      <c r="E296" s="1"/>
      <c r="F296" s="1"/>
      <c r="G296" s="1"/>
    </row>
    <row r="297" customFormat="false" ht="15" hidden="false" customHeight="false" outlineLevel="0" collapsed="false">
      <c r="A297" s="1"/>
      <c r="B297" s="1"/>
      <c r="C297" s="1"/>
      <c r="D297" s="1"/>
      <c r="E297" s="1"/>
      <c r="F297" s="1"/>
      <c r="G297" s="1"/>
    </row>
    <row r="298" customFormat="false" ht="15" hidden="false" customHeight="false" outlineLevel="0" collapsed="false">
      <c r="A298" s="1"/>
      <c r="B298" s="1"/>
      <c r="C298" s="1"/>
      <c r="D298" s="1"/>
      <c r="E298" s="1"/>
      <c r="F298" s="1"/>
      <c r="G298" s="1"/>
    </row>
    <row r="299" customFormat="false" ht="15" hidden="false" customHeight="false" outlineLevel="0" collapsed="false">
      <c r="A299" s="1"/>
      <c r="B299" s="1"/>
      <c r="C299" s="1"/>
      <c r="D299" s="1"/>
      <c r="E299" s="1"/>
      <c r="F299" s="1"/>
      <c r="G299" s="1"/>
    </row>
    <row r="300" customFormat="false" ht="15" hidden="false" customHeight="false" outlineLevel="0" collapsed="false">
      <c r="A300" s="1"/>
      <c r="B300" s="1"/>
      <c r="C300" s="1"/>
      <c r="D300" s="1"/>
      <c r="E300" s="1"/>
      <c r="F300" s="1"/>
      <c r="G300" s="1"/>
    </row>
    <row r="301" customFormat="false" ht="15" hidden="false" customHeight="false" outlineLevel="0" collapsed="false">
      <c r="A301" s="1"/>
      <c r="B301" s="1"/>
      <c r="C301" s="1"/>
      <c r="D301" s="1"/>
      <c r="E301" s="1"/>
      <c r="F301" s="1"/>
      <c r="G301" s="1"/>
    </row>
    <row r="302" customFormat="false" ht="15" hidden="false" customHeight="false" outlineLevel="0" collapsed="false">
      <c r="A302" s="1"/>
      <c r="B302" s="1"/>
      <c r="C302" s="1"/>
      <c r="D302" s="1"/>
      <c r="E302" s="1"/>
      <c r="F302" s="1"/>
      <c r="G302" s="1"/>
    </row>
    <row r="303" customFormat="false" ht="15" hidden="false" customHeight="false" outlineLevel="0" collapsed="false">
      <c r="A303" s="1"/>
      <c r="B303" s="1"/>
      <c r="C303" s="1"/>
      <c r="D303" s="1"/>
      <c r="E303" s="1"/>
      <c r="F303" s="1"/>
      <c r="G303" s="1"/>
    </row>
    <row r="304" customFormat="false" ht="15" hidden="false" customHeight="false" outlineLevel="0" collapsed="false">
      <c r="A304" s="1"/>
      <c r="B304" s="1"/>
      <c r="C304" s="1"/>
      <c r="D304" s="1"/>
      <c r="E304" s="1"/>
      <c r="F304" s="1"/>
      <c r="G304" s="1"/>
    </row>
    <row r="305" customFormat="false" ht="15" hidden="false" customHeight="false" outlineLevel="0" collapsed="false">
      <c r="A305" s="1"/>
      <c r="B305" s="1"/>
      <c r="C305" s="1"/>
      <c r="D305" s="1"/>
      <c r="E305" s="1"/>
      <c r="F305" s="1"/>
      <c r="G305" s="1"/>
    </row>
    <row r="306" customFormat="false" ht="15" hidden="false" customHeight="false" outlineLevel="0" collapsed="false">
      <c r="A306" s="1"/>
      <c r="B306" s="1"/>
      <c r="C306" s="1"/>
      <c r="D306" s="1"/>
      <c r="E306" s="1"/>
      <c r="F306" s="1"/>
      <c r="G306" s="1"/>
    </row>
    <row r="307" customFormat="false" ht="15" hidden="false" customHeight="false" outlineLevel="0" collapsed="false">
      <c r="A307" s="1"/>
      <c r="B307" s="1"/>
      <c r="C307" s="1"/>
      <c r="D307" s="1"/>
      <c r="E307" s="1"/>
      <c r="F307" s="1"/>
      <c r="G307" s="1"/>
    </row>
    <row r="308" customFormat="false" ht="15" hidden="false" customHeight="false" outlineLevel="0" collapsed="false">
      <c r="A308" s="1"/>
      <c r="B308" s="1"/>
      <c r="C308" s="1"/>
      <c r="D308" s="1"/>
      <c r="E308" s="1"/>
      <c r="F308" s="1"/>
      <c r="G308" s="1"/>
    </row>
    <row r="309" customFormat="false" ht="15" hidden="false" customHeight="false" outlineLevel="0" collapsed="false">
      <c r="A309" s="1"/>
      <c r="B309" s="1"/>
      <c r="C309" s="1"/>
      <c r="D309" s="1"/>
      <c r="E309" s="1"/>
      <c r="F309" s="1"/>
      <c r="G309" s="1"/>
    </row>
    <row r="310" customFormat="false" ht="15" hidden="false" customHeight="false" outlineLevel="0" collapsed="false">
      <c r="A310" s="1"/>
      <c r="B310" s="1"/>
      <c r="C310" s="1"/>
      <c r="D310" s="1"/>
      <c r="E310" s="1"/>
      <c r="F310" s="1"/>
      <c r="G310" s="1"/>
    </row>
    <row r="311" customFormat="false" ht="15" hidden="false" customHeight="false" outlineLevel="0" collapsed="false">
      <c r="A311" s="1"/>
      <c r="B311" s="1"/>
      <c r="C311" s="1"/>
      <c r="D311" s="1"/>
      <c r="E311" s="1"/>
      <c r="F311" s="1"/>
      <c r="G311" s="1"/>
    </row>
    <row r="312" customFormat="false" ht="15" hidden="false" customHeight="false" outlineLevel="0" collapsed="false">
      <c r="A312" s="1"/>
      <c r="B312" s="1"/>
      <c r="C312" s="1"/>
      <c r="D312" s="1"/>
      <c r="E312" s="1"/>
      <c r="F312" s="1"/>
      <c r="G312" s="1"/>
    </row>
    <row r="313" customFormat="false" ht="15" hidden="false" customHeight="false" outlineLevel="0" collapsed="false">
      <c r="A313" s="1"/>
      <c r="B313" s="1"/>
      <c r="C313" s="1"/>
      <c r="D313" s="1"/>
      <c r="E313" s="1"/>
      <c r="F313" s="1"/>
      <c r="G313" s="1"/>
    </row>
    <row r="314" customFormat="false" ht="15" hidden="false" customHeight="false" outlineLevel="0" collapsed="false">
      <c r="A314" s="1"/>
      <c r="B314" s="1"/>
      <c r="C314" s="1"/>
      <c r="D314" s="1"/>
      <c r="E314" s="1"/>
      <c r="F314" s="1"/>
      <c r="G314" s="1"/>
    </row>
    <row r="315" customFormat="false" ht="15" hidden="false" customHeight="false" outlineLevel="0" collapsed="false">
      <c r="A315" s="1"/>
      <c r="B315" s="1"/>
      <c r="C315" s="1"/>
      <c r="D315" s="1"/>
      <c r="E315" s="1"/>
      <c r="F315" s="1"/>
      <c r="G315" s="1"/>
    </row>
    <row r="316" customFormat="false" ht="15" hidden="false" customHeight="false" outlineLevel="0" collapsed="false">
      <c r="A316" s="1"/>
      <c r="B316" s="1"/>
      <c r="C316" s="1"/>
      <c r="D316" s="1"/>
      <c r="E316" s="1"/>
      <c r="F316" s="1"/>
      <c r="G316" s="1"/>
    </row>
    <row r="317" customFormat="false" ht="15" hidden="false" customHeight="false" outlineLevel="0" collapsed="false">
      <c r="A317" s="1"/>
      <c r="B317" s="1"/>
      <c r="C317" s="1"/>
      <c r="D317" s="1"/>
      <c r="E317" s="1"/>
      <c r="F317" s="1"/>
      <c r="G317" s="1"/>
    </row>
    <row r="318" customFormat="false" ht="15" hidden="false" customHeight="false" outlineLevel="0" collapsed="false">
      <c r="A318" s="1"/>
      <c r="B318" s="1"/>
      <c r="C318" s="1"/>
      <c r="D318" s="1"/>
      <c r="E318" s="1"/>
      <c r="F318" s="1"/>
      <c r="G318" s="1"/>
    </row>
    <row r="319" customFormat="false" ht="15" hidden="false" customHeight="false" outlineLevel="0" collapsed="false">
      <c r="A319" s="1"/>
      <c r="B319" s="1"/>
      <c r="C319" s="1"/>
      <c r="D319" s="1"/>
      <c r="E319" s="1"/>
      <c r="F319" s="1"/>
      <c r="G319" s="1"/>
    </row>
    <row r="320" customFormat="false" ht="15" hidden="false" customHeight="false" outlineLevel="0" collapsed="false">
      <c r="A320" s="1"/>
      <c r="B320" s="1"/>
      <c r="C320" s="1"/>
      <c r="D320" s="1"/>
      <c r="E320" s="1"/>
      <c r="F320" s="1"/>
      <c r="G320" s="1"/>
    </row>
    <row r="321" customFormat="false" ht="15" hidden="false" customHeight="false" outlineLevel="0" collapsed="false">
      <c r="A321" s="1"/>
      <c r="B321" s="1"/>
      <c r="C321" s="1"/>
      <c r="D321" s="1"/>
      <c r="E321" s="1"/>
      <c r="F321" s="1"/>
      <c r="G321" s="1"/>
    </row>
    <row r="322" customFormat="false" ht="15" hidden="false" customHeight="false" outlineLevel="0" collapsed="false">
      <c r="A322" s="1"/>
      <c r="B322" s="1"/>
      <c r="C322" s="1"/>
      <c r="D322" s="1"/>
      <c r="E322" s="1"/>
      <c r="F322" s="1"/>
      <c r="G322" s="1"/>
    </row>
    <row r="323" customFormat="false" ht="15" hidden="false" customHeight="false" outlineLevel="0" collapsed="false">
      <c r="A323" s="1"/>
      <c r="B323" s="1"/>
      <c r="C323" s="1"/>
      <c r="D323" s="1"/>
      <c r="E323" s="1"/>
      <c r="F323" s="1"/>
      <c r="G323" s="1"/>
    </row>
    <row r="324" customFormat="false" ht="15" hidden="false" customHeight="false" outlineLevel="0" collapsed="false">
      <c r="A324" s="1"/>
      <c r="B324" s="1"/>
      <c r="C324" s="1"/>
      <c r="D324" s="1"/>
      <c r="E324" s="1"/>
      <c r="F324" s="1"/>
      <c r="G324" s="1"/>
    </row>
    <row r="325" customFormat="false" ht="15" hidden="false" customHeight="false" outlineLevel="0" collapsed="false">
      <c r="A325" s="1"/>
      <c r="B325" s="1"/>
      <c r="C325" s="1"/>
      <c r="D325" s="1"/>
      <c r="E325" s="1"/>
      <c r="F325" s="1"/>
      <c r="G325" s="1"/>
    </row>
    <row r="326" customFormat="false" ht="15" hidden="false" customHeight="false" outlineLevel="0" collapsed="false">
      <c r="A326" s="1"/>
      <c r="B326" s="1"/>
      <c r="C326" s="1"/>
      <c r="D326" s="1"/>
      <c r="E326" s="1"/>
      <c r="F326" s="1"/>
      <c r="G326" s="1"/>
    </row>
    <row r="327" customFormat="false" ht="15" hidden="false" customHeight="false" outlineLevel="0" collapsed="false">
      <c r="A327" s="1"/>
      <c r="B327" s="1"/>
      <c r="C327" s="1"/>
      <c r="D327" s="1"/>
      <c r="E327" s="1"/>
      <c r="F327" s="1"/>
      <c r="G327" s="1"/>
    </row>
    <row r="328" customFormat="false" ht="15" hidden="false" customHeight="false" outlineLevel="0" collapsed="false">
      <c r="A328" s="1"/>
      <c r="B328" s="1"/>
      <c r="C328" s="1"/>
      <c r="D328" s="1"/>
      <c r="E328" s="1"/>
      <c r="F328" s="1"/>
      <c r="G328" s="1"/>
    </row>
    <row r="329" customFormat="false" ht="15" hidden="false" customHeight="false" outlineLevel="0" collapsed="false">
      <c r="A329" s="1"/>
      <c r="B329" s="1"/>
      <c r="C329" s="1"/>
      <c r="D329" s="1"/>
      <c r="E329" s="1"/>
      <c r="F329" s="1"/>
      <c r="G329" s="1"/>
    </row>
    <row r="330" customFormat="false" ht="15" hidden="false" customHeight="false" outlineLevel="0" collapsed="false">
      <c r="A330" s="1"/>
      <c r="B330" s="1"/>
      <c r="C330" s="1"/>
      <c r="D330" s="1"/>
      <c r="E330" s="1"/>
      <c r="F330" s="1"/>
      <c r="G330" s="1"/>
    </row>
    <row r="331" customFormat="false" ht="15" hidden="false" customHeight="false" outlineLevel="0" collapsed="false">
      <c r="A331" s="1"/>
      <c r="B331" s="1"/>
      <c r="C331" s="1"/>
      <c r="D331" s="1"/>
      <c r="E331" s="1"/>
      <c r="F331" s="1"/>
      <c r="G331" s="1"/>
    </row>
    <row r="332" customFormat="false" ht="15" hidden="false" customHeight="false" outlineLevel="0" collapsed="false">
      <c r="A332" s="1"/>
      <c r="B332" s="1"/>
      <c r="C332" s="1"/>
      <c r="D332" s="1"/>
      <c r="E332" s="1"/>
      <c r="F332" s="1"/>
      <c r="G332" s="1"/>
    </row>
    <row r="333" customFormat="false" ht="15" hidden="false" customHeight="false" outlineLevel="0" collapsed="false">
      <c r="A333" s="1"/>
      <c r="B333" s="1"/>
      <c r="C333" s="1"/>
      <c r="D333" s="1"/>
      <c r="E333" s="1"/>
      <c r="F333" s="1"/>
      <c r="G333" s="1"/>
    </row>
    <row r="334" customFormat="false" ht="15" hidden="false" customHeight="false" outlineLevel="0" collapsed="false">
      <c r="A334" s="1"/>
      <c r="B334" s="1"/>
      <c r="C334" s="1"/>
      <c r="D334" s="1"/>
      <c r="E334" s="1"/>
      <c r="F334" s="1"/>
      <c r="G334" s="1"/>
    </row>
    <row r="335" customFormat="false" ht="15" hidden="false" customHeight="false" outlineLevel="0" collapsed="false">
      <c r="A335" s="1"/>
      <c r="B335" s="1"/>
      <c r="C335" s="1"/>
      <c r="D335" s="1"/>
      <c r="E335" s="1"/>
      <c r="F335" s="1"/>
      <c r="G335" s="1"/>
    </row>
    <row r="336" customFormat="false" ht="15" hidden="false" customHeight="false" outlineLevel="0" collapsed="false">
      <c r="A336" s="1"/>
      <c r="B336" s="1"/>
      <c r="C336" s="1"/>
      <c r="D336" s="1"/>
      <c r="E336" s="1"/>
      <c r="F336" s="1"/>
      <c r="G336" s="1"/>
    </row>
    <row r="337" customFormat="false" ht="15" hidden="false" customHeight="false" outlineLevel="0" collapsed="false">
      <c r="A337" s="1"/>
      <c r="B337" s="1"/>
      <c r="C337" s="1"/>
      <c r="D337" s="1"/>
      <c r="E337" s="1"/>
      <c r="F337" s="1"/>
      <c r="G337" s="1"/>
    </row>
    <row r="338" customFormat="false" ht="15" hidden="false" customHeight="false" outlineLevel="0" collapsed="false">
      <c r="A338" s="1"/>
      <c r="B338" s="1"/>
      <c r="C338" s="1"/>
      <c r="D338" s="1"/>
      <c r="E338" s="1"/>
      <c r="F338" s="1"/>
      <c r="G338" s="1"/>
    </row>
    <row r="339" customFormat="false" ht="15" hidden="false" customHeight="false" outlineLevel="0" collapsed="false">
      <c r="A339" s="1"/>
      <c r="B339" s="1"/>
      <c r="C339" s="1"/>
      <c r="D339" s="1"/>
      <c r="E339" s="1"/>
      <c r="F339" s="1"/>
      <c r="G339" s="1"/>
    </row>
    <row r="340" customFormat="false" ht="15" hidden="false" customHeight="false" outlineLevel="0" collapsed="false">
      <c r="A340" s="1"/>
      <c r="B340" s="1"/>
      <c r="C340" s="1"/>
      <c r="D340" s="1"/>
      <c r="E340" s="1"/>
      <c r="F340" s="1"/>
      <c r="G340" s="1"/>
    </row>
    <row r="341" customFormat="false" ht="15" hidden="false" customHeight="false" outlineLevel="0" collapsed="false">
      <c r="A341" s="1"/>
      <c r="B341" s="1"/>
      <c r="C341" s="1"/>
      <c r="D341" s="1"/>
      <c r="E341" s="1"/>
      <c r="F341" s="1"/>
      <c r="G341" s="1"/>
    </row>
    <row r="342" customFormat="false" ht="15" hidden="false" customHeight="false" outlineLevel="0" collapsed="false">
      <c r="A342" s="1"/>
      <c r="B342" s="1"/>
      <c r="C342" s="1"/>
      <c r="D342" s="1"/>
      <c r="E342" s="1"/>
      <c r="F342" s="1"/>
      <c r="G342" s="1"/>
    </row>
    <row r="343" customFormat="false" ht="15" hidden="false" customHeight="false" outlineLevel="0" collapsed="false">
      <c r="A343" s="1"/>
      <c r="B343" s="1"/>
      <c r="C343" s="1"/>
      <c r="D343" s="1"/>
      <c r="E343" s="1"/>
      <c r="F343" s="1"/>
      <c r="G343" s="1"/>
    </row>
    <row r="344" customFormat="false" ht="15" hidden="false" customHeight="false" outlineLevel="0" collapsed="false">
      <c r="A344" s="1"/>
      <c r="B344" s="1"/>
      <c r="C344" s="1"/>
      <c r="D344" s="1"/>
      <c r="E344" s="1"/>
      <c r="F344" s="1"/>
      <c r="G344" s="1"/>
    </row>
    <row r="345" customFormat="false" ht="15" hidden="false" customHeight="false" outlineLevel="0" collapsed="false">
      <c r="A345" s="1"/>
      <c r="B345" s="1"/>
      <c r="C345" s="1"/>
      <c r="D345" s="1"/>
      <c r="E345" s="1"/>
      <c r="F345" s="1"/>
      <c r="G345" s="1"/>
    </row>
    <row r="346" customFormat="false" ht="15" hidden="false" customHeight="false" outlineLevel="0" collapsed="false">
      <c r="A346" s="1"/>
      <c r="B346" s="1"/>
      <c r="C346" s="1"/>
      <c r="D346" s="1"/>
      <c r="E346" s="1"/>
      <c r="F346" s="1"/>
      <c r="G346" s="1"/>
    </row>
    <row r="347" customFormat="false" ht="15" hidden="false" customHeight="false" outlineLevel="0" collapsed="false">
      <c r="A347" s="1"/>
      <c r="B347" s="1"/>
      <c r="C347" s="1"/>
      <c r="D347" s="1"/>
      <c r="E347" s="1"/>
      <c r="F347" s="1"/>
      <c r="G347" s="1"/>
    </row>
    <row r="348" customFormat="false" ht="15" hidden="false" customHeight="false" outlineLevel="0" collapsed="false">
      <c r="A348" s="1"/>
      <c r="B348" s="1"/>
      <c r="C348" s="1"/>
      <c r="D348" s="1"/>
      <c r="E348" s="1"/>
      <c r="F348" s="1"/>
      <c r="G348" s="1"/>
    </row>
    <row r="349" customFormat="false" ht="15" hidden="false" customHeight="false" outlineLevel="0" collapsed="false">
      <c r="A349" s="1"/>
      <c r="B349" s="1"/>
      <c r="C349" s="1"/>
      <c r="D349" s="1"/>
      <c r="E349" s="1"/>
      <c r="F349" s="1"/>
      <c r="G349" s="1"/>
    </row>
    <row r="350" customFormat="false" ht="15" hidden="false" customHeight="false" outlineLevel="0" collapsed="false">
      <c r="A350" s="1"/>
      <c r="B350" s="1"/>
      <c r="C350" s="1"/>
      <c r="D350" s="1"/>
      <c r="E350" s="1"/>
      <c r="F350" s="1"/>
      <c r="G350" s="1"/>
    </row>
    <row r="351" customFormat="false" ht="15" hidden="false" customHeight="false" outlineLevel="0" collapsed="false">
      <c r="A351" s="1"/>
      <c r="B351" s="1"/>
      <c r="C351" s="1"/>
      <c r="D351" s="1"/>
      <c r="E351" s="1"/>
      <c r="F351" s="1"/>
      <c r="G351" s="1"/>
    </row>
    <row r="352" customFormat="false" ht="15" hidden="false" customHeight="false" outlineLevel="0" collapsed="false">
      <c r="A352" s="1"/>
      <c r="B352" s="1"/>
      <c r="C352" s="1"/>
      <c r="D352" s="1"/>
      <c r="E352" s="1"/>
      <c r="F352" s="1"/>
      <c r="G352" s="1"/>
    </row>
    <row r="353" customFormat="false" ht="15" hidden="false" customHeight="false" outlineLevel="0" collapsed="false">
      <c r="A353" s="1"/>
      <c r="B353" s="1"/>
      <c r="C353" s="1"/>
      <c r="D353" s="1"/>
      <c r="E353" s="1"/>
      <c r="F353" s="1"/>
      <c r="G353" s="1"/>
    </row>
    <row r="354" customFormat="false" ht="15" hidden="false" customHeight="false" outlineLevel="0" collapsed="false">
      <c r="A354" s="1"/>
      <c r="B354" s="1"/>
      <c r="C354" s="1"/>
      <c r="D354" s="1"/>
      <c r="E354" s="1"/>
      <c r="F354" s="1"/>
      <c r="G354" s="1"/>
    </row>
    <row r="355" customFormat="false" ht="15" hidden="false" customHeight="false" outlineLevel="0" collapsed="false">
      <c r="A355" s="1"/>
      <c r="B355" s="1"/>
      <c r="C355" s="1"/>
      <c r="D355" s="1"/>
      <c r="E355" s="1"/>
      <c r="F355" s="1"/>
      <c r="G355" s="1"/>
    </row>
    <row r="356" customFormat="false" ht="15" hidden="false" customHeight="false" outlineLevel="0" collapsed="false">
      <c r="A356" s="1"/>
      <c r="B356" s="1"/>
      <c r="C356" s="1"/>
      <c r="D356" s="1"/>
      <c r="E356" s="1"/>
      <c r="F356" s="1"/>
      <c r="G356" s="1"/>
    </row>
    <row r="357" customFormat="false" ht="15" hidden="false" customHeight="false" outlineLevel="0" collapsed="false">
      <c r="A357" s="1"/>
      <c r="B357" s="1"/>
      <c r="C357" s="1"/>
      <c r="D357" s="1"/>
      <c r="E357" s="1"/>
      <c r="F357" s="1"/>
      <c r="G357" s="1"/>
    </row>
    <row r="358" customFormat="false" ht="15" hidden="false" customHeight="false" outlineLevel="0" collapsed="false">
      <c r="A358" s="1"/>
      <c r="B358" s="1"/>
      <c r="C358" s="1"/>
      <c r="D358" s="1"/>
      <c r="E358" s="1"/>
      <c r="F358" s="1"/>
      <c r="G358" s="1"/>
    </row>
    <row r="359" customFormat="false" ht="15" hidden="false" customHeight="false" outlineLevel="0" collapsed="false">
      <c r="A359" s="1"/>
      <c r="B359" s="1"/>
      <c r="C359" s="1"/>
      <c r="D359" s="1"/>
      <c r="E359" s="1"/>
      <c r="F359" s="1"/>
      <c r="G359" s="1"/>
    </row>
    <row r="360" customFormat="false" ht="15" hidden="false" customHeight="false" outlineLevel="0" collapsed="false">
      <c r="A360" s="1"/>
      <c r="B360" s="1"/>
      <c r="C360" s="1"/>
      <c r="D360" s="1"/>
      <c r="E360" s="1"/>
      <c r="F360" s="1"/>
      <c r="G360" s="1"/>
    </row>
    <row r="361" customFormat="false" ht="15" hidden="false" customHeight="false" outlineLevel="0" collapsed="false">
      <c r="A361" s="1"/>
      <c r="B361" s="1"/>
      <c r="C361" s="1"/>
      <c r="D361" s="1"/>
      <c r="E361" s="1"/>
      <c r="F361" s="1"/>
      <c r="G361" s="1"/>
    </row>
    <row r="362" customFormat="false" ht="15" hidden="false" customHeight="false" outlineLevel="0" collapsed="false">
      <c r="A362" s="1"/>
      <c r="B362" s="1"/>
      <c r="C362" s="1"/>
      <c r="D362" s="1"/>
      <c r="E362" s="1"/>
      <c r="F362" s="1"/>
      <c r="G362" s="1"/>
    </row>
    <row r="363" customFormat="false" ht="15" hidden="false" customHeight="false" outlineLevel="0" collapsed="false">
      <c r="A363" s="1"/>
      <c r="B363" s="1"/>
      <c r="C363" s="1"/>
      <c r="D363" s="1"/>
      <c r="E363" s="1"/>
      <c r="F363" s="1"/>
      <c r="G363" s="1"/>
    </row>
    <row r="364" customFormat="false" ht="15" hidden="false" customHeight="false" outlineLevel="0" collapsed="false">
      <c r="A364" s="1"/>
      <c r="B364" s="1"/>
      <c r="C364" s="1"/>
      <c r="D364" s="1"/>
      <c r="E364" s="1"/>
      <c r="F364" s="1"/>
      <c r="G364" s="1"/>
    </row>
    <row r="365" customFormat="false" ht="15" hidden="false" customHeight="false" outlineLevel="0" collapsed="false">
      <c r="A365" s="1"/>
      <c r="B365" s="1"/>
      <c r="C365" s="1"/>
      <c r="D365" s="1"/>
      <c r="E365" s="1"/>
      <c r="F365" s="1"/>
      <c r="G365" s="1"/>
    </row>
    <row r="366" customFormat="false" ht="15" hidden="false" customHeight="false" outlineLevel="0" collapsed="false">
      <c r="A366" s="1"/>
      <c r="B366" s="1"/>
      <c r="C366" s="1"/>
      <c r="D366" s="1"/>
      <c r="E366" s="1"/>
      <c r="F366" s="1"/>
      <c r="G366" s="1"/>
    </row>
    <row r="367" customFormat="false" ht="15" hidden="false" customHeight="false" outlineLevel="0" collapsed="false">
      <c r="A367" s="1"/>
      <c r="B367" s="1"/>
      <c r="C367" s="1"/>
      <c r="D367" s="1"/>
      <c r="E367" s="1"/>
      <c r="F367" s="1"/>
      <c r="G367" s="1"/>
    </row>
    <row r="368" customFormat="false" ht="15" hidden="false" customHeight="false" outlineLevel="0" collapsed="false">
      <c r="A368" s="1"/>
      <c r="B368" s="1"/>
      <c r="C368" s="1"/>
      <c r="D368" s="1"/>
      <c r="E368" s="1"/>
      <c r="F368" s="1"/>
      <c r="G368" s="1"/>
    </row>
    <row r="369" customFormat="false" ht="15" hidden="false" customHeight="false" outlineLevel="0" collapsed="false">
      <c r="A369" s="1"/>
      <c r="B369" s="1"/>
      <c r="C369" s="1"/>
      <c r="D369" s="1"/>
      <c r="E369" s="1"/>
      <c r="F369" s="1"/>
      <c r="G369" s="1"/>
    </row>
    <row r="370" customFormat="false" ht="15" hidden="false" customHeight="false" outlineLevel="0" collapsed="false">
      <c r="A370" s="1"/>
      <c r="B370" s="1"/>
      <c r="C370" s="1"/>
      <c r="D370" s="1"/>
      <c r="E370" s="1"/>
      <c r="F370" s="1"/>
      <c r="G370" s="1"/>
    </row>
    <row r="371" customFormat="false" ht="15" hidden="false" customHeight="false" outlineLevel="0" collapsed="false">
      <c r="A371" s="1"/>
      <c r="B371" s="1"/>
      <c r="C371" s="1"/>
      <c r="D371" s="1"/>
      <c r="E371" s="1"/>
      <c r="F371" s="1"/>
      <c r="G371" s="1"/>
    </row>
    <row r="372" customFormat="false" ht="15" hidden="false" customHeight="false" outlineLevel="0" collapsed="false">
      <c r="A372" s="1"/>
      <c r="B372" s="1"/>
      <c r="C372" s="1"/>
      <c r="D372" s="1"/>
      <c r="E372" s="1"/>
      <c r="F372" s="1"/>
      <c r="G372" s="1"/>
    </row>
    <row r="373" customFormat="false" ht="15" hidden="false" customHeight="false" outlineLevel="0" collapsed="false">
      <c r="A373" s="1"/>
      <c r="B373" s="1"/>
      <c r="C373" s="1"/>
      <c r="D373" s="1"/>
      <c r="E373" s="1"/>
      <c r="F373" s="1"/>
      <c r="G373" s="1"/>
    </row>
    <row r="374" customFormat="false" ht="15" hidden="false" customHeight="false" outlineLevel="0" collapsed="false">
      <c r="A374" s="1"/>
      <c r="B374" s="1"/>
      <c r="C374" s="1"/>
      <c r="D374" s="1"/>
      <c r="E374" s="1"/>
      <c r="F374" s="1"/>
      <c r="G374" s="1"/>
    </row>
    <row r="375" customFormat="false" ht="15" hidden="false" customHeight="false" outlineLevel="0" collapsed="false">
      <c r="A375" s="1"/>
      <c r="B375" s="1"/>
      <c r="C375" s="1"/>
      <c r="D375" s="1"/>
      <c r="E375" s="1"/>
      <c r="F375" s="1"/>
      <c r="G375" s="1"/>
    </row>
    <row r="376" customFormat="false" ht="15" hidden="false" customHeight="false" outlineLevel="0" collapsed="false">
      <c r="A376" s="1"/>
      <c r="B376" s="1"/>
      <c r="C376" s="1"/>
      <c r="D376" s="1"/>
      <c r="E376" s="1"/>
      <c r="F376" s="1"/>
      <c r="G376" s="1"/>
    </row>
    <row r="377" customFormat="false" ht="15" hidden="false" customHeight="false" outlineLevel="0" collapsed="false">
      <c r="A377" s="1"/>
      <c r="B377" s="1"/>
      <c r="C377" s="1"/>
      <c r="D377" s="1"/>
      <c r="E377" s="1"/>
      <c r="F377" s="1"/>
      <c r="G377" s="1"/>
    </row>
    <row r="378" customFormat="false" ht="15" hidden="false" customHeight="false" outlineLevel="0" collapsed="false">
      <c r="A378" s="1"/>
      <c r="B378" s="1"/>
      <c r="C378" s="1"/>
      <c r="D378" s="1"/>
      <c r="E378" s="1"/>
      <c r="F378" s="1"/>
      <c r="G378" s="1"/>
    </row>
    <row r="379" customFormat="false" ht="15" hidden="false" customHeight="false" outlineLevel="0" collapsed="false">
      <c r="A379" s="1"/>
      <c r="B379" s="1"/>
      <c r="C379" s="1"/>
      <c r="D379" s="1"/>
      <c r="E379" s="1"/>
      <c r="F379" s="1"/>
      <c r="G379" s="1"/>
    </row>
    <row r="380" customFormat="false" ht="15" hidden="false" customHeight="false" outlineLevel="0" collapsed="false">
      <c r="A380" s="1"/>
      <c r="B380" s="1"/>
      <c r="C380" s="1"/>
      <c r="D380" s="1"/>
      <c r="E380" s="1"/>
      <c r="F380" s="1"/>
      <c r="G380" s="1"/>
    </row>
    <row r="381" customFormat="false" ht="15" hidden="false" customHeight="false" outlineLevel="0" collapsed="false">
      <c r="A381" s="1"/>
      <c r="B381" s="1"/>
      <c r="C381" s="1"/>
      <c r="D381" s="1"/>
      <c r="E381" s="1"/>
      <c r="F381" s="1"/>
      <c r="G381" s="1"/>
    </row>
    <row r="382" customFormat="false" ht="15" hidden="false" customHeight="false" outlineLevel="0" collapsed="false">
      <c r="A382" s="1"/>
      <c r="B382" s="1"/>
      <c r="C382" s="1"/>
      <c r="D382" s="1"/>
      <c r="E382" s="1"/>
      <c r="F382" s="1"/>
      <c r="G382" s="1"/>
    </row>
    <row r="383" customFormat="false" ht="15" hidden="false" customHeight="false" outlineLevel="0" collapsed="false">
      <c r="A383" s="1"/>
      <c r="B383" s="1"/>
      <c r="C383" s="1"/>
      <c r="D383" s="1"/>
      <c r="E383" s="1"/>
      <c r="F383" s="1"/>
      <c r="G383" s="1"/>
    </row>
    <row r="384" customFormat="false" ht="15" hidden="false" customHeight="false" outlineLevel="0" collapsed="false">
      <c r="A384" s="1"/>
      <c r="B384" s="1"/>
      <c r="C384" s="1"/>
      <c r="D384" s="1"/>
      <c r="E384" s="1"/>
      <c r="F384" s="1"/>
      <c r="G384" s="1"/>
    </row>
    <row r="385" customFormat="false" ht="15" hidden="false" customHeight="false" outlineLevel="0" collapsed="false">
      <c r="A385" s="1"/>
      <c r="B385" s="1"/>
      <c r="C385" s="1"/>
      <c r="D385" s="1"/>
      <c r="E385" s="1"/>
      <c r="F385" s="1"/>
      <c r="G385" s="1"/>
    </row>
    <row r="386" customFormat="false" ht="15" hidden="false" customHeight="false" outlineLevel="0" collapsed="false">
      <c r="A386" s="1"/>
      <c r="B386" s="1"/>
      <c r="C386" s="1"/>
      <c r="D386" s="1"/>
      <c r="E386" s="1"/>
      <c r="F386" s="1"/>
      <c r="G386" s="1"/>
    </row>
    <row r="387" customFormat="false" ht="15" hidden="false" customHeight="false" outlineLevel="0" collapsed="false">
      <c r="A387" s="1"/>
      <c r="B387" s="1"/>
      <c r="C387" s="1"/>
      <c r="D387" s="1"/>
      <c r="E387" s="1"/>
      <c r="F387" s="1"/>
      <c r="G387" s="1"/>
    </row>
    <row r="388" customFormat="false" ht="15" hidden="false" customHeight="false" outlineLevel="0" collapsed="false">
      <c r="A388" s="1"/>
      <c r="B388" s="1"/>
      <c r="C388" s="1"/>
      <c r="D388" s="1"/>
      <c r="E388" s="1"/>
      <c r="F388" s="1"/>
      <c r="G388" s="1"/>
    </row>
    <row r="389" customFormat="false" ht="15" hidden="false" customHeight="false" outlineLevel="0" collapsed="false">
      <c r="A389" s="1"/>
      <c r="B389" s="1"/>
      <c r="C389" s="1"/>
      <c r="D389" s="1"/>
      <c r="E389" s="1"/>
      <c r="F389" s="1"/>
      <c r="G389" s="1"/>
    </row>
    <row r="390" customFormat="false" ht="15" hidden="false" customHeight="false" outlineLevel="0" collapsed="false">
      <c r="A390" s="1"/>
      <c r="B390" s="1"/>
      <c r="C390" s="1"/>
      <c r="D390" s="1"/>
      <c r="E390" s="1"/>
      <c r="F390" s="1"/>
      <c r="G390" s="1"/>
    </row>
    <row r="391" customFormat="false" ht="15" hidden="false" customHeight="false" outlineLevel="0" collapsed="false">
      <c r="A391" s="1"/>
      <c r="B391" s="1"/>
      <c r="C391" s="1"/>
      <c r="D391" s="1"/>
      <c r="E391" s="1"/>
      <c r="F391" s="1"/>
      <c r="G391" s="1"/>
    </row>
    <row r="392" customFormat="false" ht="15" hidden="false" customHeight="false" outlineLevel="0" collapsed="false">
      <c r="A392" s="1"/>
      <c r="B392" s="1"/>
      <c r="C392" s="1"/>
      <c r="D392" s="1"/>
      <c r="E392" s="1"/>
      <c r="F392" s="1"/>
      <c r="G392" s="1"/>
    </row>
    <row r="393" customFormat="false" ht="15" hidden="false" customHeight="false" outlineLevel="0" collapsed="false">
      <c r="A393" s="1"/>
      <c r="B393" s="1"/>
      <c r="C393" s="1"/>
      <c r="D393" s="1"/>
      <c r="E393" s="1"/>
      <c r="F393" s="1"/>
      <c r="G393" s="1"/>
    </row>
    <row r="394" customFormat="false" ht="15" hidden="false" customHeight="false" outlineLevel="0" collapsed="false">
      <c r="A394" s="1"/>
      <c r="B394" s="1"/>
      <c r="C394" s="1"/>
      <c r="D394" s="1"/>
      <c r="E394" s="1"/>
      <c r="F394" s="1"/>
      <c r="G394" s="1"/>
    </row>
    <row r="395" customFormat="false" ht="15" hidden="false" customHeight="false" outlineLevel="0" collapsed="false">
      <c r="A395" s="1"/>
      <c r="B395" s="1"/>
      <c r="C395" s="1"/>
      <c r="D395" s="1"/>
      <c r="E395" s="1"/>
      <c r="F395" s="1"/>
      <c r="G395" s="1"/>
    </row>
    <row r="396" customFormat="false" ht="15" hidden="false" customHeight="false" outlineLevel="0" collapsed="false">
      <c r="A396" s="1"/>
      <c r="B396" s="1"/>
      <c r="C396" s="1"/>
      <c r="D396" s="1"/>
      <c r="E396" s="1"/>
      <c r="F396" s="1"/>
      <c r="G396" s="1"/>
    </row>
    <row r="397" customFormat="false" ht="15" hidden="false" customHeight="false" outlineLevel="0" collapsed="false">
      <c r="A397" s="1"/>
      <c r="B397" s="1"/>
      <c r="C397" s="1"/>
      <c r="D397" s="1"/>
      <c r="E397" s="1"/>
      <c r="F397" s="1"/>
      <c r="G397" s="1"/>
    </row>
    <row r="398" customFormat="false" ht="15" hidden="false" customHeight="false" outlineLevel="0" collapsed="false">
      <c r="A398" s="1"/>
      <c r="B398" s="1"/>
      <c r="C398" s="1"/>
      <c r="D398" s="1"/>
      <c r="E398" s="1"/>
      <c r="F398" s="1"/>
      <c r="G398" s="1"/>
    </row>
    <row r="399" customFormat="false" ht="15" hidden="false" customHeight="false" outlineLevel="0" collapsed="false">
      <c r="A399" s="1"/>
      <c r="B399" s="1"/>
      <c r="C399" s="1"/>
      <c r="D399" s="1"/>
      <c r="E399" s="1"/>
      <c r="F399" s="1"/>
      <c r="G399" s="1"/>
    </row>
    <row r="400" customFormat="false" ht="15" hidden="false" customHeight="false" outlineLevel="0" collapsed="false">
      <c r="A400" s="1"/>
      <c r="B400" s="1"/>
      <c r="C400" s="1"/>
      <c r="D400" s="1"/>
      <c r="E400" s="1"/>
      <c r="F400" s="1"/>
      <c r="G400" s="1"/>
    </row>
  </sheetData>
  <autoFilter ref="B4:F1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CC15"/>
    <pageSetUpPr fitToPage="tru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44"/>
    <col collapsed="false" customWidth="true" hidden="false" outlineLevel="0" max="5" min="5" style="0" width="50"/>
    <col collapsed="false" customWidth="true" hidden="false" outlineLevel="0" max="6" min="6" style="0" width="34"/>
    <col collapsed="false" customWidth="true" hidden="false" outlineLevel="0" max="7" min="7" style="0" width="14"/>
  </cols>
  <sheetData>
    <row r="1" customFormat="false" ht="36" hidden="false" customHeight="true" outlineLevel="0" collapsed="false">
      <c r="A1" s="1"/>
      <c r="B1" s="2" t="s">
        <v>197</v>
      </c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"/>
      <c r="B2" s="3" t="s">
        <v>198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1"/>
      <c r="B3" s="43" t="s">
        <v>199</v>
      </c>
      <c r="C3" s="1"/>
      <c r="D3" s="1"/>
      <c r="E3" s="1"/>
      <c r="F3" s="1"/>
      <c r="G3" s="1"/>
      <c r="H3" s="1"/>
      <c r="I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</row>
    <row r="5" customFormat="false" ht="25.5" hidden="false" customHeight="true" outlineLevel="0" collapsed="false">
      <c r="A5" s="1"/>
      <c r="B5" s="20" t="s">
        <v>200</v>
      </c>
      <c r="C5" s="20" t="s">
        <v>201</v>
      </c>
      <c r="D5" s="20" t="s">
        <v>202</v>
      </c>
      <c r="E5" s="20" t="s">
        <v>203</v>
      </c>
      <c r="F5" s="20" t="s">
        <v>204</v>
      </c>
      <c r="G5" s="20" t="s">
        <v>32</v>
      </c>
      <c r="H5" s="1"/>
      <c r="I5" s="1"/>
    </row>
    <row r="6" customFormat="false" ht="31.5" hidden="false" customHeight="true" outlineLevel="0" collapsed="false">
      <c r="A6" s="1"/>
      <c r="B6" s="44" t="n">
        <v>46321</v>
      </c>
      <c r="C6" s="45" t="s">
        <v>205</v>
      </c>
      <c r="D6" s="45" t="s">
        <v>206</v>
      </c>
      <c r="E6" s="45" t="s">
        <v>207</v>
      </c>
      <c r="F6" s="45"/>
      <c r="G6" s="46" t="s">
        <v>208</v>
      </c>
      <c r="H6" s="1"/>
      <c r="I6" s="1"/>
    </row>
    <row r="7" customFormat="false" ht="31.5" hidden="false" customHeight="true" outlineLevel="0" collapsed="false">
      <c r="A7" s="1"/>
      <c r="B7" s="44"/>
      <c r="C7" s="45"/>
      <c r="D7" s="45"/>
      <c r="E7" s="45"/>
      <c r="F7" s="45"/>
      <c r="G7" s="46"/>
      <c r="H7" s="1"/>
      <c r="I7" s="1"/>
    </row>
    <row r="8" customFormat="false" ht="31.5" hidden="false" customHeight="true" outlineLevel="0" collapsed="false">
      <c r="A8" s="1"/>
      <c r="B8" s="44"/>
      <c r="C8" s="45"/>
      <c r="D8" s="45"/>
      <c r="E8" s="45"/>
      <c r="F8" s="45"/>
      <c r="G8" s="46"/>
      <c r="H8" s="1"/>
      <c r="I8" s="1"/>
    </row>
    <row r="9" customFormat="false" ht="31.5" hidden="false" customHeight="true" outlineLevel="0" collapsed="false">
      <c r="A9" s="1"/>
      <c r="B9" s="44"/>
      <c r="C9" s="45"/>
      <c r="D9" s="45"/>
      <c r="E9" s="45"/>
      <c r="F9" s="45"/>
      <c r="G9" s="46"/>
      <c r="H9" s="1"/>
      <c r="I9" s="1"/>
    </row>
    <row r="10" customFormat="false" ht="31.5" hidden="false" customHeight="true" outlineLevel="0" collapsed="false">
      <c r="A10" s="1"/>
      <c r="B10" s="44"/>
      <c r="C10" s="45"/>
      <c r="D10" s="45"/>
      <c r="E10" s="45"/>
      <c r="F10" s="45"/>
      <c r="G10" s="46"/>
      <c r="H10" s="1"/>
      <c r="I10" s="1"/>
    </row>
    <row r="11" customFormat="false" ht="31.5" hidden="false" customHeight="true" outlineLevel="0" collapsed="false">
      <c r="A11" s="1"/>
      <c r="B11" s="44"/>
      <c r="C11" s="45"/>
      <c r="D11" s="45"/>
      <c r="E11" s="45"/>
      <c r="F11" s="45"/>
      <c r="G11" s="46"/>
      <c r="H11" s="1"/>
      <c r="I11" s="1"/>
    </row>
    <row r="12" customFormat="false" ht="31.5" hidden="false" customHeight="true" outlineLevel="0" collapsed="false">
      <c r="A12" s="1"/>
      <c r="B12" s="44"/>
      <c r="C12" s="45"/>
      <c r="D12" s="45"/>
      <c r="E12" s="45"/>
      <c r="F12" s="45"/>
      <c r="G12" s="46"/>
      <c r="H12" s="1"/>
      <c r="I12" s="1"/>
    </row>
    <row r="13" customFormat="false" ht="31.5" hidden="false" customHeight="true" outlineLevel="0" collapsed="false">
      <c r="A13" s="1"/>
      <c r="B13" s="44"/>
      <c r="C13" s="45"/>
      <c r="D13" s="45"/>
      <c r="E13" s="45"/>
      <c r="F13" s="45"/>
      <c r="G13" s="46"/>
      <c r="H13" s="1"/>
      <c r="I13" s="1"/>
    </row>
    <row r="14" customFormat="false" ht="31.5" hidden="false" customHeight="true" outlineLevel="0" collapsed="false">
      <c r="A14" s="1"/>
      <c r="B14" s="44"/>
      <c r="C14" s="45"/>
      <c r="D14" s="45"/>
      <c r="E14" s="45"/>
      <c r="F14" s="45"/>
      <c r="G14" s="46"/>
      <c r="H14" s="1"/>
      <c r="I14" s="1"/>
    </row>
    <row r="15" customFormat="false" ht="31.5" hidden="false" customHeight="true" outlineLevel="0" collapsed="false">
      <c r="A15" s="1"/>
      <c r="B15" s="44"/>
      <c r="C15" s="45"/>
      <c r="D15" s="45"/>
      <c r="E15" s="45"/>
      <c r="F15" s="45"/>
      <c r="G15" s="46"/>
      <c r="H15" s="1"/>
      <c r="I15" s="1"/>
    </row>
    <row r="16" customFormat="false" ht="31.5" hidden="false" customHeight="true" outlineLevel="0" collapsed="false">
      <c r="A16" s="1"/>
      <c r="B16" s="44"/>
      <c r="C16" s="45"/>
      <c r="D16" s="45"/>
      <c r="E16" s="45"/>
      <c r="F16" s="45"/>
      <c r="G16" s="46"/>
      <c r="H16" s="1"/>
      <c r="I16" s="1"/>
    </row>
    <row r="17" customFormat="false" ht="31.5" hidden="false" customHeight="true" outlineLevel="0" collapsed="false">
      <c r="A17" s="1"/>
      <c r="B17" s="44"/>
      <c r="C17" s="45"/>
      <c r="D17" s="45"/>
      <c r="E17" s="45"/>
      <c r="F17" s="45"/>
      <c r="G17" s="46"/>
      <c r="H17" s="1"/>
      <c r="I17" s="1"/>
    </row>
    <row r="18" customFormat="false" ht="31.5" hidden="false" customHeight="true" outlineLevel="0" collapsed="false">
      <c r="A18" s="1"/>
      <c r="B18" s="44"/>
      <c r="C18" s="45"/>
      <c r="D18" s="45"/>
      <c r="E18" s="45"/>
      <c r="F18" s="45"/>
      <c r="G18" s="46"/>
      <c r="H18" s="1"/>
      <c r="I18" s="1"/>
    </row>
    <row r="19" customFormat="false" ht="31.5" hidden="false" customHeight="true" outlineLevel="0" collapsed="false">
      <c r="A19" s="1"/>
      <c r="B19" s="44"/>
      <c r="C19" s="45"/>
      <c r="D19" s="45"/>
      <c r="E19" s="45"/>
      <c r="F19" s="45"/>
      <c r="G19" s="46"/>
      <c r="H19" s="1"/>
      <c r="I19" s="1"/>
    </row>
    <row r="20" customFormat="false" ht="31.5" hidden="false" customHeight="true" outlineLevel="0" collapsed="false">
      <c r="A20" s="1"/>
      <c r="B20" s="44"/>
      <c r="C20" s="45"/>
      <c r="D20" s="45"/>
      <c r="E20" s="45"/>
      <c r="F20" s="45"/>
      <c r="G20" s="46"/>
      <c r="H20" s="1"/>
      <c r="I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</row>
  </sheetData>
  <dataValidations count="1">
    <dataValidation allowBlank="true" errorStyle="stop" operator="between" showDropDown="false" showErrorMessage="false" showInputMessage="false" sqref="G6:G20" type="list">
      <formula1>"Em aberto,Em pesquisa,Concluída"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true"/>
  </sheetPr>
  <dimension ref="A1:Q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  <col collapsed="false" customWidth="true" hidden="false" outlineLevel="0" max="11" min="7" style="0" width="16"/>
    <col collapsed="false" customWidth="true" hidden="false" outlineLevel="0" max="13" min="13" style="0" width="24"/>
    <col collapsed="false" customWidth="true" hidden="false" outlineLevel="0" max="17" min="14" style="0" width="16"/>
  </cols>
  <sheetData>
    <row r="1" customFormat="false" ht="26.85" hidden="false" customHeight="false" outlineLevel="0" collapsed="false">
      <c r="A1" s="20" t="s">
        <v>209</v>
      </c>
      <c r="B1" s="20" t="s">
        <v>210</v>
      </c>
      <c r="C1" s="20" t="s">
        <v>211</v>
      </c>
      <c r="D1" s="20" t="s">
        <v>212</v>
      </c>
      <c r="E1" s="20" t="s">
        <v>213</v>
      </c>
      <c r="G1" s="20" t="s">
        <v>24</v>
      </c>
      <c r="H1" s="20" t="s">
        <v>17</v>
      </c>
      <c r="I1" s="20" t="s">
        <v>15</v>
      </c>
      <c r="J1" s="20" t="s">
        <v>14</v>
      </c>
      <c r="K1" s="20" t="s">
        <v>16</v>
      </c>
      <c r="M1" s="20" t="s">
        <v>25</v>
      </c>
      <c r="N1" s="20" t="s">
        <v>17</v>
      </c>
      <c r="O1" s="20" t="s">
        <v>15</v>
      </c>
      <c r="P1" s="20" t="s">
        <v>14</v>
      </c>
      <c r="Q1" s="20" t="s">
        <v>16</v>
      </c>
    </row>
    <row r="2" customFormat="false" ht="15" hidden="false" customHeight="false" outlineLevel="0" collapsed="false">
      <c r="A2" s="47" t="s">
        <v>30</v>
      </c>
      <c r="B2" s="48" t="n">
        <f aca="false">Scrum!$H$12</f>
        <v>63</v>
      </c>
      <c r="C2" s="48" t="n">
        <f aca="false">Scrum!$H$12</f>
        <v>63</v>
      </c>
      <c r="D2" s="48" t="n">
        <f aca="false">Scrum!$H$12</f>
        <v>63</v>
      </c>
      <c r="E2" s="48" t="n">
        <v>0</v>
      </c>
      <c r="G2" s="47" t="str">
        <f aca="false">LEFT(Scrum!B6,3)</f>
        <v>S01</v>
      </c>
      <c r="H2" s="47" t="n">
        <f aca="false">COUNTIFS(Cronograma!$G$7:$G$45,Scrum!$B6,Cronograma!$C$7:$C$45,"&lt;&gt;Epic",Cronograma!$O$7:$O$45,H$1)</f>
        <v>0</v>
      </c>
      <c r="I2" s="47" t="n">
        <f aca="false">COUNTIFS(Cronograma!$G$7:$G$45,Scrum!$B6,Cronograma!$C$7:$C$45,"&lt;&gt;Epic",Cronograma!$O$7:$O$45,I$1)</f>
        <v>0</v>
      </c>
      <c r="J2" s="47" t="n">
        <f aca="false">COUNTIFS(Cronograma!$G$7:$G$45,Scrum!$B6,Cronograma!$C$7:$C$45,"&lt;&gt;Epic",Cronograma!$O$7:$O$45,J$1)</f>
        <v>4</v>
      </c>
      <c r="K2" s="47" t="n">
        <f aca="false">COUNTIFS(Cronograma!$G$7:$G$45,Scrum!$B6,Cronograma!$C$7:$C$45,"&lt;&gt;Epic",Cronograma!$O$7:$O$45,K$1)</f>
        <v>0</v>
      </c>
      <c r="M2" s="47" t="str">
        <f aca="false">Parâmetros!C5</f>
        <v>Produto</v>
      </c>
      <c r="N2" s="47" t="n">
        <f aca="false">COUNTIFS(Cronograma!$H$7:$H$45,$M2,Cronograma!$C$7:$C$45,"&lt;&gt;Epic",Cronograma!$O$7:$O$45,N$1)</f>
        <v>0</v>
      </c>
      <c r="O2" s="47" t="n">
        <f aca="false">COUNTIFS(Cronograma!$H$7:$H$45,$M2,Cronograma!$C$7:$C$45,"&lt;&gt;Epic",Cronograma!$O$7:$O$45,O$1)</f>
        <v>0</v>
      </c>
      <c r="P2" s="47" t="n">
        <f aca="false">COUNTIFS(Cronograma!$H$7:$H$45,$M2,Cronograma!$C$7:$C$45,"&lt;&gt;Epic",Cronograma!$O$7:$O$45,P$1)</f>
        <v>2</v>
      </c>
      <c r="Q2" s="47" t="n">
        <f aca="false">COUNTIFS(Cronograma!$H$7:$H$45,$M2,Cronograma!$C$7:$C$45,"&lt;&gt;Epic",Cronograma!$O$7:$O$45,Q$1)</f>
        <v>0</v>
      </c>
    </row>
    <row r="3" customFormat="false" ht="15" hidden="false" customHeight="false" outlineLevel="0" collapsed="false">
      <c r="A3" s="47" t="str">
        <f aca="false">LEFT(Scrum!B6,3)</f>
        <v>S01</v>
      </c>
      <c r="B3" s="48" t="n">
        <f aca="false">Scrum!$H$12*(1-ROWS(A$3:A3)/COUNTA(Scrum!$B$6:$B$11))</f>
        <v>52.5</v>
      </c>
      <c r="C3" s="48" t="n">
        <f aca="false">C2-Scrum!I6</f>
        <v>55</v>
      </c>
      <c r="D3" s="48" t="n">
        <f aca="false">Scrum!$H$12</f>
        <v>63</v>
      </c>
      <c r="E3" s="48" t="n">
        <f aca="false">E2+Scrum!I6</f>
        <v>8</v>
      </c>
      <c r="G3" s="47" t="str">
        <f aca="false">LEFT(Scrum!B7,3)</f>
        <v>S02</v>
      </c>
      <c r="H3" s="47" t="n">
        <f aca="false">COUNTIFS(Cronograma!$G$7:$G$45,Scrum!$B7,Cronograma!$C$7:$C$45,"&lt;&gt;Epic",Cronograma!$O$7:$O$45,H$1)</f>
        <v>0</v>
      </c>
      <c r="I3" s="47" t="n">
        <f aca="false">COUNTIFS(Cronograma!$G$7:$G$45,Scrum!$B7,Cronograma!$C$7:$C$45,"&lt;&gt;Epic",Cronograma!$O$7:$O$45,I$1)</f>
        <v>0</v>
      </c>
      <c r="J3" s="47" t="n">
        <f aca="false">COUNTIFS(Cronograma!$G$7:$G$45,Scrum!$B7,Cronograma!$C$7:$C$45,"&lt;&gt;Epic",Cronograma!$O$7:$O$45,J$1)</f>
        <v>5</v>
      </c>
      <c r="K3" s="47" t="n">
        <f aca="false">COUNTIFS(Cronograma!$G$7:$G$45,Scrum!$B7,Cronograma!$C$7:$C$45,"&lt;&gt;Epic",Cronograma!$O$7:$O$45,K$1)</f>
        <v>0</v>
      </c>
      <c r="M3" s="47" t="str">
        <f aca="false">Parâmetros!C6</f>
        <v>Arquitetura</v>
      </c>
      <c r="N3" s="47" t="n">
        <f aca="false">COUNTIFS(Cronograma!$H$7:$H$45,$M3,Cronograma!$C$7:$C$45,"&lt;&gt;Epic",Cronograma!$O$7:$O$45,N$1)</f>
        <v>0</v>
      </c>
      <c r="O3" s="47" t="n">
        <f aca="false">COUNTIFS(Cronograma!$H$7:$H$45,$M3,Cronograma!$C$7:$C$45,"&lt;&gt;Epic",Cronograma!$O$7:$O$45,O$1)</f>
        <v>0</v>
      </c>
      <c r="P3" s="47" t="n">
        <f aca="false">COUNTIFS(Cronograma!$H$7:$H$45,$M3,Cronograma!$C$7:$C$45,"&lt;&gt;Epic",Cronograma!$O$7:$O$45,P$1)</f>
        <v>1</v>
      </c>
      <c r="Q3" s="47" t="n">
        <f aca="false">COUNTIFS(Cronograma!$H$7:$H$45,$M3,Cronograma!$C$7:$C$45,"&lt;&gt;Epic",Cronograma!$O$7:$O$45,Q$1)</f>
        <v>0</v>
      </c>
    </row>
    <row r="4" customFormat="false" ht="15" hidden="false" customHeight="false" outlineLevel="0" collapsed="false">
      <c r="A4" s="47" t="str">
        <f aca="false">LEFT(Scrum!B7,3)</f>
        <v>S02</v>
      </c>
      <c r="B4" s="48" t="n">
        <f aca="false">Scrum!$H$12*(1-ROWS(A$3:A4)/COUNTA(Scrum!$B$6:$B$11))</f>
        <v>42</v>
      </c>
      <c r="C4" s="48" t="n">
        <f aca="false">C3-Scrum!I7</f>
        <v>43</v>
      </c>
      <c r="D4" s="48" t="n">
        <f aca="false">Scrum!$H$12</f>
        <v>63</v>
      </c>
      <c r="E4" s="48" t="n">
        <f aca="false">E3+Scrum!I7</f>
        <v>20</v>
      </c>
      <c r="G4" s="47" t="str">
        <f aca="false">LEFT(Scrum!B8,3)</f>
        <v>S03</v>
      </c>
      <c r="H4" s="47" t="n">
        <f aca="false">COUNTIFS(Cronograma!$G$7:$G$45,Scrum!$B8,Cronograma!$C$7:$C$45,"&lt;&gt;Epic",Cronograma!$O$7:$O$45,H$1)</f>
        <v>0</v>
      </c>
      <c r="I4" s="47" t="n">
        <f aca="false">COUNTIFS(Cronograma!$G$7:$G$45,Scrum!$B8,Cronograma!$C$7:$C$45,"&lt;&gt;Epic",Cronograma!$O$7:$O$45,I$1)</f>
        <v>0</v>
      </c>
      <c r="J4" s="47" t="n">
        <f aca="false">COUNTIFS(Cronograma!$G$7:$G$45,Scrum!$B8,Cronograma!$C$7:$C$45,"&lt;&gt;Epic",Cronograma!$O$7:$O$45,J$1)</f>
        <v>6</v>
      </c>
      <c r="K4" s="47" t="n">
        <f aca="false">COUNTIFS(Cronograma!$G$7:$G$45,Scrum!$B8,Cronograma!$C$7:$C$45,"&lt;&gt;Epic",Cronograma!$O$7:$O$45,K$1)</f>
        <v>0</v>
      </c>
      <c r="M4" s="47" t="str">
        <f aca="false">Parâmetros!C7</f>
        <v>DevOps</v>
      </c>
      <c r="N4" s="47" t="n">
        <f aca="false">COUNTIFS(Cronograma!$H$7:$H$45,$M4,Cronograma!$C$7:$C$45,"&lt;&gt;Epic",Cronograma!$O$7:$O$45,N$1)</f>
        <v>0</v>
      </c>
      <c r="O4" s="47" t="n">
        <f aca="false">COUNTIFS(Cronograma!$H$7:$H$45,$M4,Cronograma!$C$7:$C$45,"&lt;&gt;Epic",Cronograma!$O$7:$O$45,O$1)</f>
        <v>1</v>
      </c>
      <c r="P4" s="47" t="n">
        <f aca="false">COUNTIFS(Cronograma!$H$7:$H$45,$M4,Cronograma!$C$7:$C$45,"&lt;&gt;Epic",Cronograma!$O$7:$O$45,P$1)</f>
        <v>2</v>
      </c>
      <c r="Q4" s="47" t="n">
        <f aca="false">COUNTIFS(Cronograma!$H$7:$H$45,$M4,Cronograma!$C$7:$C$45,"&lt;&gt;Epic",Cronograma!$O$7:$O$45,Q$1)</f>
        <v>0</v>
      </c>
    </row>
    <row r="5" customFormat="false" ht="15" hidden="false" customHeight="false" outlineLevel="0" collapsed="false">
      <c r="A5" s="47" t="str">
        <f aca="false">LEFT(Scrum!B8,3)</f>
        <v>S03</v>
      </c>
      <c r="B5" s="48" t="n">
        <f aca="false">Scrum!$H$12*(1-ROWS(A$3:A5)/COUNTA(Scrum!$B$6:$B$11))</f>
        <v>31.5</v>
      </c>
      <c r="C5" s="48" t="n">
        <f aca="false">C4-Scrum!I8</f>
        <v>30.5</v>
      </c>
      <c r="D5" s="48" t="n">
        <f aca="false">Scrum!$H$12</f>
        <v>63</v>
      </c>
      <c r="E5" s="48" t="n">
        <f aca="false">E4+Scrum!I8</f>
        <v>32.5</v>
      </c>
      <c r="G5" s="47" t="str">
        <f aca="false">LEFT(Scrum!B9,3)</f>
        <v>S04</v>
      </c>
      <c r="H5" s="47" t="n">
        <f aca="false">COUNTIFS(Cronograma!$G$7:$G$45,Scrum!$B9,Cronograma!$C$7:$C$45,"&lt;&gt;Epic",Cronograma!$O$7:$O$45,H$1)</f>
        <v>0</v>
      </c>
      <c r="I5" s="47" t="n">
        <f aca="false">COUNTIFS(Cronograma!$G$7:$G$45,Scrum!$B9,Cronograma!$C$7:$C$45,"&lt;&gt;Epic",Cronograma!$O$7:$O$45,I$1)</f>
        <v>0</v>
      </c>
      <c r="J5" s="47" t="n">
        <f aca="false">COUNTIFS(Cronograma!$G$7:$G$45,Scrum!$B9,Cronograma!$C$7:$C$45,"&lt;&gt;Epic",Cronograma!$O$7:$O$45,J$1)</f>
        <v>6</v>
      </c>
      <c r="K5" s="47" t="n">
        <f aca="false">COUNTIFS(Cronograma!$G$7:$G$45,Scrum!$B9,Cronograma!$C$7:$C$45,"&lt;&gt;Epic",Cronograma!$O$7:$O$45,K$1)</f>
        <v>0</v>
      </c>
      <c r="M5" s="47" t="str">
        <f aca="false">Parâmetros!C8</f>
        <v>Backend</v>
      </c>
      <c r="N5" s="47" t="n">
        <f aca="false">COUNTIFS(Cronograma!$H$7:$H$45,$M5,Cronograma!$C$7:$C$45,"&lt;&gt;Epic",Cronograma!$O$7:$O$45,N$1)</f>
        <v>0</v>
      </c>
      <c r="O5" s="47" t="n">
        <f aca="false">COUNTIFS(Cronograma!$H$7:$H$45,$M5,Cronograma!$C$7:$C$45,"&lt;&gt;Epic",Cronograma!$O$7:$O$45,O$1)</f>
        <v>0</v>
      </c>
      <c r="P5" s="47" t="n">
        <f aca="false">COUNTIFS(Cronograma!$H$7:$H$45,$M5,Cronograma!$C$7:$C$45,"&lt;&gt;Epic",Cronograma!$O$7:$O$45,P$1)</f>
        <v>6</v>
      </c>
      <c r="Q5" s="47" t="n">
        <f aca="false">COUNTIFS(Cronograma!$H$7:$H$45,$M5,Cronograma!$C$7:$C$45,"&lt;&gt;Epic",Cronograma!$O$7:$O$45,Q$1)</f>
        <v>0</v>
      </c>
    </row>
    <row r="6" customFormat="false" ht="15" hidden="false" customHeight="false" outlineLevel="0" collapsed="false">
      <c r="A6" s="47" t="str">
        <f aca="false">LEFT(Scrum!B9,3)</f>
        <v>S04</v>
      </c>
      <c r="B6" s="48" t="n">
        <f aca="false">Scrum!$H$12*(1-ROWS(A$3:A6)/COUNTA(Scrum!$B$6:$B$11))</f>
        <v>21</v>
      </c>
      <c r="C6" s="48" t="n">
        <f aca="false">C5-Scrum!I9</f>
        <v>20</v>
      </c>
      <c r="D6" s="48" t="n">
        <f aca="false">Scrum!$H$12</f>
        <v>63</v>
      </c>
      <c r="E6" s="48" t="n">
        <f aca="false">E5+Scrum!I9</f>
        <v>43</v>
      </c>
      <c r="G6" s="47" t="str">
        <f aca="false">LEFT(Scrum!B10,3)</f>
        <v>S05</v>
      </c>
      <c r="H6" s="47" t="n">
        <f aca="false">COUNTIFS(Cronograma!$G$7:$G$45,Scrum!$B10,Cronograma!$C$7:$C$45,"&lt;&gt;Epic",Cronograma!$O$7:$O$45,H$1)</f>
        <v>0</v>
      </c>
      <c r="I6" s="47" t="n">
        <f aca="false">COUNTIFS(Cronograma!$G$7:$G$45,Scrum!$B10,Cronograma!$C$7:$C$45,"&lt;&gt;Epic",Cronograma!$O$7:$O$45,I$1)</f>
        <v>0</v>
      </c>
      <c r="J6" s="47" t="n">
        <f aca="false">COUNTIFS(Cronograma!$G$7:$G$45,Scrum!$B10,Cronograma!$C$7:$C$45,"&lt;&gt;Epic",Cronograma!$O$7:$O$45,J$1)</f>
        <v>4</v>
      </c>
      <c r="K6" s="47" t="n">
        <f aca="false">COUNTIFS(Cronograma!$G$7:$G$45,Scrum!$B10,Cronograma!$C$7:$C$45,"&lt;&gt;Epic",Cronograma!$O$7:$O$45,K$1)</f>
        <v>2</v>
      </c>
      <c r="M6" s="47" t="str">
        <f aca="false">Parâmetros!C9</f>
        <v>Dados</v>
      </c>
      <c r="N6" s="47" t="n">
        <f aca="false">COUNTIFS(Cronograma!$H$7:$H$45,$M6,Cronograma!$C$7:$C$45,"&lt;&gt;Epic",Cronograma!$O$7:$O$45,N$1)</f>
        <v>0</v>
      </c>
      <c r="O6" s="47" t="n">
        <f aca="false">COUNTIFS(Cronograma!$H$7:$H$45,$M6,Cronograma!$C$7:$C$45,"&lt;&gt;Epic",Cronograma!$O$7:$O$45,O$1)</f>
        <v>0</v>
      </c>
      <c r="P6" s="47" t="n">
        <f aca="false">COUNTIFS(Cronograma!$H$7:$H$45,$M6,Cronograma!$C$7:$C$45,"&lt;&gt;Epic",Cronograma!$O$7:$O$45,P$1)</f>
        <v>1</v>
      </c>
      <c r="Q6" s="47" t="n">
        <f aca="false">COUNTIFS(Cronograma!$H$7:$H$45,$M6,Cronograma!$C$7:$C$45,"&lt;&gt;Epic",Cronograma!$O$7:$O$45,Q$1)</f>
        <v>0</v>
      </c>
    </row>
    <row r="7" customFormat="false" ht="15" hidden="false" customHeight="false" outlineLevel="0" collapsed="false">
      <c r="A7" s="47" t="str">
        <f aca="false">LEFT(Scrum!B10,3)</f>
        <v>S05</v>
      </c>
      <c r="B7" s="48" t="n">
        <f aca="false">Scrum!$H$12*(1-ROWS(A$3:A7)/COUNTA(Scrum!$B$6:$B$11))</f>
        <v>10.5</v>
      </c>
      <c r="C7" s="48" t="n">
        <f aca="false">C6-Scrum!I10</f>
        <v>12.5</v>
      </c>
      <c r="D7" s="48" t="n">
        <f aca="false">Scrum!$H$12</f>
        <v>63</v>
      </c>
      <c r="E7" s="48" t="n">
        <f aca="false">E6+Scrum!I10</f>
        <v>50.5</v>
      </c>
      <c r="G7" s="47" t="str">
        <f aca="false">LEFT(Scrum!B11,3)</f>
        <v>S06</v>
      </c>
      <c r="H7" s="47" t="n">
        <f aca="false">COUNTIFS(Cronograma!$G$7:$G$45,Scrum!$B11,Cronograma!$C$7:$C$45,"&lt;&gt;Epic",Cronograma!$O$7:$O$45,H$1)</f>
        <v>0</v>
      </c>
      <c r="I7" s="47" t="n">
        <f aca="false">COUNTIFS(Cronograma!$G$7:$G$45,Scrum!$B11,Cronograma!$C$7:$C$45,"&lt;&gt;Epic",Cronograma!$O$7:$O$45,I$1)</f>
        <v>5</v>
      </c>
      <c r="J7" s="47" t="n">
        <f aca="false">COUNTIFS(Cronograma!$G$7:$G$45,Scrum!$B11,Cronograma!$C$7:$C$45,"&lt;&gt;Epic",Cronograma!$O$7:$O$45,J$1)</f>
        <v>1</v>
      </c>
      <c r="K7" s="47" t="n">
        <f aca="false">COUNTIFS(Cronograma!$G$7:$G$45,Scrum!$B11,Cronograma!$C$7:$C$45,"&lt;&gt;Epic",Cronograma!$O$7:$O$45,K$1)</f>
        <v>0</v>
      </c>
      <c r="M7" s="47" t="str">
        <f aca="false">Parâmetros!C10</f>
        <v>Frontend</v>
      </c>
      <c r="N7" s="47" t="n">
        <f aca="false">COUNTIFS(Cronograma!$H$7:$H$45,$M7,Cronograma!$C$7:$C$45,"&lt;&gt;Epic",Cronograma!$O$7:$O$45,N$1)</f>
        <v>0</v>
      </c>
      <c r="O7" s="47" t="n">
        <f aca="false">COUNTIFS(Cronograma!$H$7:$H$45,$M7,Cronograma!$C$7:$C$45,"&lt;&gt;Epic",Cronograma!$O$7:$O$45,O$1)</f>
        <v>1</v>
      </c>
      <c r="P7" s="47" t="n">
        <f aca="false">COUNTIFS(Cronograma!$H$7:$H$45,$M7,Cronograma!$C$7:$C$45,"&lt;&gt;Epic",Cronograma!$O$7:$O$45,P$1)</f>
        <v>7</v>
      </c>
      <c r="Q7" s="47" t="n">
        <f aca="false">COUNTIFS(Cronograma!$H$7:$H$45,$M7,Cronograma!$C$7:$C$45,"&lt;&gt;Epic",Cronograma!$O$7:$O$45,Q$1)</f>
        <v>0</v>
      </c>
    </row>
    <row r="8" customFormat="false" ht="15" hidden="false" customHeight="false" outlineLevel="0" collapsed="false">
      <c r="A8" s="47" t="str">
        <f aca="false">LEFT(Scrum!B11,3)</f>
        <v>S06</v>
      </c>
      <c r="B8" s="48" t="n">
        <f aca="false">Scrum!$H$12*(1-ROWS(A$3:A8)/COUNTA(Scrum!$B$6:$B$11))</f>
        <v>0</v>
      </c>
      <c r="C8" s="48" t="n">
        <f aca="false">C7-Scrum!I11</f>
        <v>9.5</v>
      </c>
      <c r="D8" s="48" t="n">
        <f aca="false">Scrum!$H$12</f>
        <v>63</v>
      </c>
      <c r="E8" s="48" t="n">
        <f aca="false">E7+Scrum!I11</f>
        <v>53.5</v>
      </c>
      <c r="M8" s="47" t="str">
        <f aca="false">Parâmetros!C11</f>
        <v>Integrações</v>
      </c>
      <c r="N8" s="47" t="n">
        <f aca="false">COUNTIFS(Cronograma!$H$7:$H$45,$M8,Cronograma!$C$7:$C$45,"&lt;&gt;Epic",Cronograma!$O$7:$O$45,N$1)</f>
        <v>0</v>
      </c>
      <c r="O8" s="47" t="n">
        <f aca="false">COUNTIFS(Cronograma!$H$7:$H$45,$M8,Cronograma!$C$7:$C$45,"&lt;&gt;Epic",Cronograma!$O$7:$O$45,O$1)</f>
        <v>0</v>
      </c>
      <c r="P8" s="47" t="n">
        <f aca="false">COUNTIFS(Cronograma!$H$7:$H$45,$M8,Cronograma!$C$7:$C$45,"&lt;&gt;Epic",Cronograma!$O$7:$O$45,P$1)</f>
        <v>3</v>
      </c>
      <c r="Q8" s="47" t="n">
        <f aca="false">COUNTIFS(Cronograma!$H$7:$H$45,$M8,Cronograma!$C$7:$C$45,"&lt;&gt;Epic",Cronograma!$O$7:$O$45,Q$1)</f>
        <v>1</v>
      </c>
    </row>
    <row r="9" customFormat="false" ht="15" hidden="false" customHeight="false" outlineLevel="0" collapsed="false">
      <c r="M9" s="47" t="str">
        <f aca="false">Parâmetros!C12</f>
        <v>Dados e Analytics</v>
      </c>
      <c r="N9" s="47" t="n">
        <f aca="false">COUNTIFS(Cronograma!$H$7:$H$45,$M9,Cronograma!$C$7:$C$45,"&lt;&gt;Epic",Cronograma!$O$7:$O$45,N$1)</f>
        <v>0</v>
      </c>
      <c r="O9" s="47" t="n">
        <f aca="false">COUNTIFS(Cronograma!$H$7:$H$45,$M9,Cronograma!$C$7:$C$45,"&lt;&gt;Epic",Cronograma!$O$7:$O$45,O$1)</f>
        <v>0</v>
      </c>
      <c r="P9" s="47" t="n">
        <f aca="false">COUNTIFS(Cronograma!$H$7:$H$45,$M9,Cronograma!$C$7:$C$45,"&lt;&gt;Epic",Cronograma!$O$7:$O$45,P$1)</f>
        <v>2</v>
      </c>
      <c r="Q9" s="47" t="n">
        <f aca="false">COUNTIFS(Cronograma!$H$7:$H$45,$M9,Cronograma!$C$7:$C$45,"&lt;&gt;Epic",Cronograma!$O$7:$O$45,Q$1)</f>
        <v>0</v>
      </c>
    </row>
    <row r="10" customFormat="false" ht="15" hidden="false" customHeight="false" outlineLevel="0" collapsed="false">
      <c r="M10" s="47" t="str">
        <f aca="false">Parâmetros!C13</f>
        <v>Segurança</v>
      </c>
      <c r="N10" s="47" t="n">
        <f aca="false">COUNTIFS(Cronograma!$H$7:$H$45,$M10,Cronograma!$C$7:$C$45,"&lt;&gt;Epic",Cronograma!$O$7:$O$45,N$1)</f>
        <v>0</v>
      </c>
      <c r="O10" s="47" t="n">
        <f aca="false">COUNTIFS(Cronograma!$H$7:$H$45,$M10,Cronograma!$C$7:$C$45,"&lt;&gt;Epic",Cronograma!$O$7:$O$45,O$1)</f>
        <v>0</v>
      </c>
      <c r="P10" s="47" t="n">
        <f aca="false">COUNTIFS(Cronograma!$H$7:$H$45,$M10,Cronograma!$C$7:$C$45,"&lt;&gt;Epic",Cronograma!$O$7:$O$45,P$1)</f>
        <v>2</v>
      </c>
      <c r="Q10" s="47" t="n">
        <f aca="false">COUNTIFS(Cronograma!$H$7:$H$45,$M10,Cronograma!$C$7:$C$45,"&lt;&gt;Epic",Cronograma!$O$7:$O$45,Q$1)</f>
        <v>0</v>
      </c>
    </row>
    <row r="11" customFormat="false" ht="15" hidden="false" customHeight="false" outlineLevel="0" collapsed="false">
      <c r="M11" s="47" t="str">
        <f aca="false">Parâmetros!C14</f>
        <v>Qualidade</v>
      </c>
      <c r="N11" s="47" t="n">
        <f aca="false">COUNTIFS(Cronograma!$H$7:$H$45,$M11,Cronograma!$C$7:$C$45,"&lt;&gt;Epic",Cronograma!$O$7:$O$45,N$1)</f>
        <v>0</v>
      </c>
      <c r="O11" s="47" t="n">
        <f aca="false">COUNTIFS(Cronograma!$H$7:$H$45,$M11,Cronograma!$C$7:$C$45,"&lt;&gt;Epic",Cronograma!$O$7:$O$45,O$1)</f>
        <v>1</v>
      </c>
      <c r="P11" s="47" t="n">
        <f aca="false">COUNTIFS(Cronograma!$H$7:$H$45,$M11,Cronograma!$C$7:$C$45,"&lt;&gt;Epic",Cronograma!$O$7:$O$45,P$1)</f>
        <v>0</v>
      </c>
      <c r="Q11" s="47" t="n">
        <f aca="false">COUNTIFS(Cronograma!$H$7:$H$45,$M11,Cronograma!$C$7:$C$45,"&lt;&gt;Epic",Cronograma!$O$7:$O$45,Q$1)</f>
        <v>1</v>
      </c>
    </row>
    <row r="12" customFormat="false" ht="15" hidden="false" customHeight="false" outlineLevel="0" collapsed="false">
      <c r="M12" s="47" t="str">
        <f aca="false">Parâmetros!C15</f>
        <v>Documentação</v>
      </c>
      <c r="N12" s="47" t="n">
        <f aca="false">COUNTIFS(Cronograma!$H$7:$H$45,$M12,Cronograma!$C$7:$C$45,"&lt;&gt;Epic",Cronograma!$O$7:$O$45,N$1)</f>
        <v>0</v>
      </c>
      <c r="O12" s="47" t="n">
        <f aca="false">COUNTIFS(Cronograma!$H$7:$H$45,$M12,Cronograma!$C$7:$C$45,"&lt;&gt;Epic",Cronograma!$O$7:$O$45,O$1)</f>
        <v>2</v>
      </c>
      <c r="P12" s="47" t="n">
        <f aca="false">COUNTIFS(Cronograma!$H$7:$H$45,$M12,Cronograma!$C$7:$C$45,"&lt;&gt;Epic",Cronograma!$O$7:$O$45,P$1)</f>
        <v>0</v>
      </c>
      <c r="Q12" s="47" t="n">
        <f aca="false">COUNTIFS(Cronograma!$H$7:$H$45,$M12,Cronograma!$C$7:$C$45,"&lt;&gt;Epic",Cronograma!$O$7:$O$45,Q$1)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"/>
    <col collapsed="false" customWidth="true" hidden="false" outlineLevel="0" max="3" min="3" style="0" width="26"/>
    <col collapsed="false" customWidth="true" hidden="false" outlineLevel="0" max="4" min="4" style="0" width="3"/>
    <col collapsed="false" customWidth="true" hidden="false" outlineLevel="0" max="5" min="5" style="0" width="62"/>
    <col collapsed="false" customWidth="true" hidden="false" outlineLevel="0" max="6" min="6" style="0" width="14"/>
  </cols>
  <sheetData>
    <row r="1" customFormat="false" ht="36" hidden="false" customHeight="true" outlineLevel="0" collapsed="false">
      <c r="A1" s="2" t="s">
        <v>214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3" t="s">
        <v>215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26.85" hidden="false" customHeight="false" outlineLevel="0" collapsed="false">
      <c r="A4" s="20" t="s">
        <v>216</v>
      </c>
      <c r="B4" s="1"/>
      <c r="C4" s="20" t="s">
        <v>217</v>
      </c>
      <c r="D4" s="1"/>
      <c r="E4" s="20" t="s">
        <v>218</v>
      </c>
      <c r="F4" s="20" t="s">
        <v>219</v>
      </c>
      <c r="G4" s="1"/>
      <c r="H4" s="1"/>
    </row>
    <row r="5" customFormat="false" ht="15" hidden="false" customHeight="false" outlineLevel="0" collapsed="false">
      <c r="A5" s="49" t="s">
        <v>220</v>
      </c>
      <c r="B5" s="1"/>
      <c r="C5" s="49" t="s">
        <v>221</v>
      </c>
      <c r="D5" s="1"/>
      <c r="E5" s="49" t="s">
        <v>222</v>
      </c>
      <c r="F5" s="50" t="n">
        <v>46321</v>
      </c>
      <c r="G5" s="1"/>
      <c r="H5" s="1"/>
    </row>
    <row r="6" customFormat="false" ht="15" hidden="false" customHeight="false" outlineLevel="0" collapsed="false">
      <c r="A6" s="49" t="s">
        <v>223</v>
      </c>
      <c r="B6" s="1"/>
      <c r="C6" s="49" t="s">
        <v>224</v>
      </c>
      <c r="D6" s="1"/>
      <c r="E6" s="49" t="s">
        <v>225</v>
      </c>
      <c r="F6" s="51" t="n">
        <v>7</v>
      </c>
      <c r="G6" s="1"/>
      <c r="H6" s="1"/>
    </row>
    <row r="7" customFormat="false" ht="15" hidden="false" customHeight="false" outlineLevel="0" collapsed="false">
      <c r="A7" s="49" t="s">
        <v>226</v>
      </c>
      <c r="B7" s="1"/>
      <c r="C7" s="49" t="s">
        <v>227</v>
      </c>
      <c r="D7" s="1"/>
      <c r="E7" s="1"/>
      <c r="F7" s="1"/>
      <c r="G7" s="1"/>
      <c r="H7" s="1"/>
    </row>
    <row r="8" customFormat="false" ht="15" hidden="false" customHeight="false" outlineLevel="0" collapsed="false">
      <c r="A8" s="49" t="s">
        <v>228</v>
      </c>
      <c r="B8" s="1"/>
      <c r="C8" s="49" t="s">
        <v>229</v>
      </c>
      <c r="D8" s="1"/>
      <c r="E8" s="1"/>
      <c r="F8" s="1"/>
      <c r="G8" s="1"/>
      <c r="H8" s="1"/>
    </row>
    <row r="9" customFormat="false" ht="15" hidden="false" customHeight="false" outlineLevel="0" collapsed="false">
      <c r="A9" s="49" t="s">
        <v>230</v>
      </c>
      <c r="B9" s="1"/>
      <c r="C9" s="49" t="s">
        <v>231</v>
      </c>
      <c r="D9" s="1"/>
      <c r="E9" s="1"/>
      <c r="F9" s="1"/>
      <c r="G9" s="1"/>
      <c r="H9" s="1"/>
    </row>
    <row r="10" customFormat="false" ht="15" hidden="false" customHeight="false" outlineLevel="0" collapsed="false">
      <c r="A10" s="49" t="s">
        <v>232</v>
      </c>
      <c r="B10" s="1"/>
      <c r="C10" s="49" t="s">
        <v>233</v>
      </c>
      <c r="D10" s="1"/>
      <c r="E10" s="1"/>
      <c r="F10" s="1"/>
      <c r="G10" s="1"/>
      <c r="H10" s="1"/>
    </row>
    <row r="11" customFormat="false" ht="15" hidden="false" customHeight="false" outlineLevel="0" collapsed="false">
      <c r="A11" s="1"/>
      <c r="B11" s="1"/>
      <c r="C11" s="49" t="s">
        <v>234</v>
      </c>
      <c r="D11" s="1"/>
      <c r="E11" s="1"/>
      <c r="F11" s="1"/>
      <c r="G11" s="1"/>
      <c r="H11" s="1"/>
    </row>
    <row r="12" customFormat="false" ht="15" hidden="false" customHeight="false" outlineLevel="0" collapsed="false">
      <c r="A12" s="1"/>
      <c r="B12" s="1"/>
      <c r="C12" s="49" t="s">
        <v>235</v>
      </c>
      <c r="D12" s="1"/>
      <c r="E12" s="1"/>
      <c r="F12" s="1"/>
      <c r="G12" s="1"/>
      <c r="H12" s="1"/>
    </row>
    <row r="13" customFormat="false" ht="15" hidden="false" customHeight="false" outlineLevel="0" collapsed="false">
      <c r="A13" s="1"/>
      <c r="B13" s="1"/>
      <c r="C13" s="49" t="s">
        <v>236</v>
      </c>
      <c r="D13" s="1"/>
      <c r="E13" s="1"/>
      <c r="F13" s="1"/>
      <c r="G13" s="1"/>
      <c r="H13" s="1"/>
    </row>
    <row r="14" customFormat="false" ht="15" hidden="false" customHeight="false" outlineLevel="0" collapsed="false">
      <c r="A14" s="1"/>
      <c r="B14" s="1"/>
      <c r="C14" s="49" t="s">
        <v>237</v>
      </c>
      <c r="D14" s="1"/>
      <c r="E14" s="1"/>
      <c r="F14" s="1"/>
      <c r="G14" s="1"/>
      <c r="H14" s="1"/>
    </row>
    <row r="15" customFormat="false" ht="15" hidden="false" customHeight="false" outlineLevel="0" collapsed="false">
      <c r="A15" s="1"/>
      <c r="B15" s="1"/>
      <c r="C15" s="49" t="s">
        <v>238</v>
      </c>
      <c r="D15" s="1"/>
      <c r="E15" s="1"/>
      <c r="F15" s="1"/>
      <c r="G15" s="1"/>
      <c r="H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</row>
    <row r="18" customFormat="false" ht="15" hidden="false" customHeight="false" outlineLevel="0" collapsed="false">
      <c r="A18" s="1"/>
      <c r="B18" s="1"/>
      <c r="C18" s="1"/>
      <c r="D18" s="1"/>
      <c r="E18" s="52" t="s">
        <v>239</v>
      </c>
      <c r="F18" s="1"/>
      <c r="G18" s="1"/>
      <c r="H18" s="1"/>
    </row>
    <row r="19" customFormat="false" ht="45.75" hidden="false" customHeight="true" outlineLevel="0" collapsed="false">
      <c r="A19" s="1"/>
      <c r="B19" s="1"/>
      <c r="C19" s="1"/>
      <c r="D19" s="1"/>
      <c r="E19" s="53" t="s">
        <v>240</v>
      </c>
      <c r="F19" s="53"/>
      <c r="G19" s="1"/>
      <c r="H19" s="1"/>
    </row>
    <row r="20" customFormat="false" ht="45.75" hidden="false" customHeight="true" outlineLevel="0" collapsed="false">
      <c r="A20" s="1"/>
      <c r="B20" s="1"/>
      <c r="C20" s="1"/>
      <c r="D20" s="1"/>
      <c r="E20" s="53" t="s">
        <v>241</v>
      </c>
      <c r="F20" s="53"/>
      <c r="G20" s="1"/>
      <c r="H20" s="1"/>
    </row>
    <row r="21" customFormat="false" ht="45.75" hidden="false" customHeight="true" outlineLevel="0" collapsed="false">
      <c r="A21" s="1"/>
      <c r="B21" s="1"/>
      <c r="C21" s="1"/>
      <c r="D21" s="1"/>
      <c r="E21" s="53" t="s">
        <v>242</v>
      </c>
      <c r="F21" s="53"/>
      <c r="G21" s="1"/>
      <c r="H21" s="1"/>
    </row>
    <row r="22" customFormat="false" ht="45.75" hidden="false" customHeight="true" outlineLevel="0" collapsed="false">
      <c r="A22" s="1"/>
      <c r="B22" s="1"/>
      <c r="C22" s="1"/>
      <c r="D22" s="1"/>
      <c r="E22" s="53" t="s">
        <v>243</v>
      </c>
      <c r="F22" s="53"/>
      <c r="G22" s="1"/>
      <c r="H22" s="1"/>
    </row>
    <row r="23" customFormat="false" ht="45.75" hidden="false" customHeight="true" outlineLevel="0" collapsed="false">
      <c r="A23" s="1"/>
      <c r="B23" s="1"/>
      <c r="C23" s="1"/>
      <c r="D23" s="1"/>
      <c r="E23" s="53" t="s">
        <v>244</v>
      </c>
      <c r="F23" s="53"/>
      <c r="G23" s="1"/>
      <c r="H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</row>
  </sheetData>
  <mergeCells count="5">
    <mergeCell ref="E19:F19"/>
    <mergeCell ref="E20:F20"/>
    <mergeCell ref="E21:F21"/>
    <mergeCell ref="E22:F22"/>
    <mergeCell ref="E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46"/>
    <col collapsed="false" customWidth="true" hidden="false" outlineLevel="0" max="4" min="4" style="0" width="80"/>
    <col collapsed="false" customWidth="true" hidden="false" outlineLevel="0" max="6" min="5" style="0" width="10"/>
    <col collapsed="false" customWidth="true" hidden="false" outlineLevel="0" max="7" min="7" style="0" width="30"/>
    <col collapsed="false" customWidth="true" hidden="false" outlineLevel="0" max="8" min="8" style="0" width="18"/>
    <col collapsed="false" customWidth="true" hidden="false" outlineLevel="0" max="9" min="9" style="0" width="15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54" t="s">
        <v>245</v>
      </c>
      <c r="B1" s="54" t="s">
        <v>246</v>
      </c>
      <c r="C1" s="54" t="s">
        <v>247</v>
      </c>
      <c r="D1" s="54" t="s">
        <v>248</v>
      </c>
      <c r="E1" s="54" t="s">
        <v>249</v>
      </c>
      <c r="F1" s="54" t="s">
        <v>250</v>
      </c>
      <c r="G1" s="54" t="s">
        <v>24</v>
      </c>
      <c r="H1" s="54" t="s">
        <v>251</v>
      </c>
      <c r="I1" s="54" t="s">
        <v>252</v>
      </c>
      <c r="J1" s="54" t="s">
        <v>253</v>
      </c>
    </row>
    <row r="2" customFormat="false" ht="15" hidden="false" customHeight="false" outlineLevel="0" collapsed="false">
      <c r="A2" s="47" t="n">
        <v>1000</v>
      </c>
      <c r="B2" s="47" t="s">
        <v>254</v>
      </c>
      <c r="C2" s="47" t="s">
        <v>255</v>
      </c>
      <c r="D2" s="47" t="s">
        <v>256</v>
      </c>
      <c r="E2" s="47"/>
      <c r="F2" s="47"/>
      <c r="G2" s="47"/>
      <c r="H2" s="47" t="s">
        <v>221</v>
      </c>
      <c r="I2" s="47" t="s">
        <v>257</v>
      </c>
      <c r="J2" s="55" t="n">
        <v>46297</v>
      </c>
    </row>
    <row r="3" customFormat="false" ht="15" hidden="false" customHeight="false" outlineLevel="0" collapsed="false">
      <c r="A3" s="47" t="n">
        <v>1001</v>
      </c>
      <c r="B3" s="47" t="s">
        <v>258</v>
      </c>
      <c r="C3" s="47" t="s">
        <v>259</v>
      </c>
      <c r="D3" s="47" t="s">
        <v>260</v>
      </c>
      <c r="E3" s="47" t="n">
        <v>1000</v>
      </c>
      <c r="F3" s="47"/>
      <c r="G3" s="47" t="s">
        <v>220</v>
      </c>
      <c r="H3" s="47" t="s">
        <v>221</v>
      </c>
      <c r="I3" s="47" t="s">
        <v>261</v>
      </c>
      <c r="J3" s="55" t="n">
        <v>46296</v>
      </c>
    </row>
    <row r="4" customFormat="false" ht="15" hidden="false" customHeight="false" outlineLevel="0" collapsed="false">
      <c r="A4" s="47" t="n">
        <v>1002</v>
      </c>
      <c r="B4" s="47" t="s">
        <v>262</v>
      </c>
      <c r="C4" s="47" t="s">
        <v>263</v>
      </c>
      <c r="D4" s="47" t="s">
        <v>264</v>
      </c>
      <c r="E4" s="47"/>
      <c r="F4" s="47" t="n">
        <v>1001</v>
      </c>
      <c r="G4" s="47" t="s">
        <v>220</v>
      </c>
      <c r="H4" s="47" t="s">
        <v>221</v>
      </c>
      <c r="I4" s="47" t="s">
        <v>265</v>
      </c>
      <c r="J4" s="55" t="n">
        <v>46297</v>
      </c>
    </row>
    <row r="5" customFormat="false" ht="15" hidden="false" customHeight="false" outlineLevel="0" collapsed="false">
      <c r="A5" s="47" t="n">
        <v>1003</v>
      </c>
      <c r="B5" s="47" t="s">
        <v>258</v>
      </c>
      <c r="C5" s="47" t="s">
        <v>266</v>
      </c>
      <c r="D5" s="47" t="s">
        <v>267</v>
      </c>
      <c r="E5" s="47" t="n">
        <v>1000</v>
      </c>
      <c r="F5" s="47"/>
      <c r="G5" s="47" t="s">
        <v>220</v>
      </c>
      <c r="H5" s="47" t="s">
        <v>224</v>
      </c>
      <c r="I5" s="47" t="s">
        <v>261</v>
      </c>
      <c r="J5" s="55" t="n">
        <v>46296</v>
      </c>
    </row>
    <row r="6" customFormat="false" ht="15" hidden="false" customHeight="false" outlineLevel="0" collapsed="false">
      <c r="A6" s="47" t="n">
        <v>1004</v>
      </c>
      <c r="B6" s="47" t="s">
        <v>262</v>
      </c>
      <c r="C6" s="47" t="s">
        <v>268</v>
      </c>
      <c r="D6" s="47" t="s">
        <v>269</v>
      </c>
      <c r="E6" s="47"/>
      <c r="F6" s="47" t="n">
        <v>1003</v>
      </c>
      <c r="G6" s="47" t="s">
        <v>220</v>
      </c>
      <c r="H6" s="47" t="s">
        <v>227</v>
      </c>
      <c r="I6" s="47" t="s">
        <v>265</v>
      </c>
      <c r="J6" s="55" t="n">
        <v>46297</v>
      </c>
    </row>
    <row r="7" customFormat="false" ht="15" hidden="false" customHeight="false" outlineLevel="0" collapsed="false">
      <c r="A7" s="47" t="n">
        <v>1100</v>
      </c>
      <c r="B7" s="47" t="s">
        <v>254</v>
      </c>
      <c r="C7" s="47" t="s">
        <v>270</v>
      </c>
      <c r="D7" s="47" t="s">
        <v>271</v>
      </c>
      <c r="E7" s="47"/>
      <c r="F7" s="47"/>
      <c r="G7" s="47"/>
      <c r="H7" s="47" t="s">
        <v>229</v>
      </c>
      <c r="I7" s="47" t="s">
        <v>272</v>
      </c>
      <c r="J7" s="55" t="n">
        <v>46303</v>
      </c>
    </row>
    <row r="8" customFormat="false" ht="15" hidden="false" customHeight="false" outlineLevel="0" collapsed="false">
      <c r="A8" s="47" t="n">
        <v>1101</v>
      </c>
      <c r="B8" s="47" t="s">
        <v>258</v>
      </c>
      <c r="C8" s="47" t="s">
        <v>273</v>
      </c>
      <c r="D8" s="47" t="s">
        <v>274</v>
      </c>
      <c r="E8" s="47" t="n">
        <v>1100</v>
      </c>
      <c r="F8" s="47"/>
      <c r="G8" s="47" t="s">
        <v>223</v>
      </c>
      <c r="H8" s="47" t="s">
        <v>229</v>
      </c>
      <c r="I8" s="47" t="s">
        <v>275</v>
      </c>
      <c r="J8" s="55" t="n">
        <v>46301</v>
      </c>
    </row>
    <row r="9" customFormat="false" ht="15" hidden="false" customHeight="false" outlineLevel="0" collapsed="false">
      <c r="A9" s="47" t="n">
        <v>1102</v>
      </c>
      <c r="B9" s="47" t="s">
        <v>262</v>
      </c>
      <c r="C9" s="47" t="s">
        <v>276</v>
      </c>
      <c r="D9" s="47" t="s">
        <v>277</v>
      </c>
      <c r="E9" s="47"/>
      <c r="F9" s="47" t="n">
        <v>1101</v>
      </c>
      <c r="G9" s="47" t="s">
        <v>223</v>
      </c>
      <c r="H9" s="47" t="s">
        <v>231</v>
      </c>
      <c r="I9" s="47" t="s">
        <v>265</v>
      </c>
      <c r="J9" s="55" t="n">
        <v>46302</v>
      </c>
    </row>
    <row r="10" customFormat="false" ht="15" hidden="false" customHeight="false" outlineLevel="0" collapsed="false">
      <c r="A10" s="47" t="n">
        <v>1103</v>
      </c>
      <c r="B10" s="47" t="s">
        <v>258</v>
      </c>
      <c r="C10" s="47" t="s">
        <v>278</v>
      </c>
      <c r="D10" s="47" t="s">
        <v>279</v>
      </c>
      <c r="E10" s="47" t="n">
        <v>1100</v>
      </c>
      <c r="F10" s="47"/>
      <c r="G10" s="47" t="s">
        <v>223</v>
      </c>
      <c r="H10" s="47" t="s">
        <v>229</v>
      </c>
      <c r="I10" s="47" t="s">
        <v>280</v>
      </c>
      <c r="J10" s="55" t="n">
        <v>46301</v>
      </c>
    </row>
    <row r="11" customFormat="false" ht="15" hidden="false" customHeight="false" outlineLevel="0" collapsed="false">
      <c r="A11" s="47" t="n">
        <v>1104</v>
      </c>
      <c r="B11" s="47" t="s">
        <v>262</v>
      </c>
      <c r="C11" s="47" t="s">
        <v>281</v>
      </c>
      <c r="D11" s="47" t="s">
        <v>282</v>
      </c>
      <c r="E11" s="47"/>
      <c r="F11" s="47" t="n">
        <v>1103</v>
      </c>
      <c r="G11" s="47" t="s">
        <v>223</v>
      </c>
      <c r="H11" s="47" t="s">
        <v>229</v>
      </c>
      <c r="I11" s="47" t="s">
        <v>265</v>
      </c>
      <c r="J11" s="55" t="n">
        <v>46302</v>
      </c>
    </row>
    <row r="12" customFormat="false" ht="15" hidden="false" customHeight="false" outlineLevel="0" collapsed="false">
      <c r="A12" s="47" t="n">
        <v>1105</v>
      </c>
      <c r="B12" s="47" t="s">
        <v>258</v>
      </c>
      <c r="C12" s="47" t="s">
        <v>283</v>
      </c>
      <c r="D12" s="47" t="s">
        <v>284</v>
      </c>
      <c r="E12" s="47" t="n">
        <v>1100</v>
      </c>
      <c r="F12" s="47"/>
      <c r="G12" s="47" t="s">
        <v>223</v>
      </c>
      <c r="H12" s="47" t="s">
        <v>229</v>
      </c>
      <c r="I12" s="47" t="s">
        <v>261</v>
      </c>
      <c r="J12" s="55" t="n">
        <v>46301</v>
      </c>
    </row>
    <row r="13" customFormat="false" ht="15" hidden="false" customHeight="false" outlineLevel="0" collapsed="false">
      <c r="A13" s="47" t="n">
        <v>1200</v>
      </c>
      <c r="B13" s="47" t="s">
        <v>254</v>
      </c>
      <c r="C13" s="47" t="s">
        <v>285</v>
      </c>
      <c r="D13" s="47" t="s">
        <v>286</v>
      </c>
      <c r="E13" s="47"/>
      <c r="F13" s="47"/>
      <c r="G13" s="47"/>
      <c r="H13" s="47" t="s">
        <v>233</v>
      </c>
      <c r="I13" s="47" t="s">
        <v>272</v>
      </c>
      <c r="J13" s="55" t="n">
        <v>46309</v>
      </c>
    </row>
    <row r="14" customFormat="false" ht="15" hidden="false" customHeight="false" outlineLevel="0" collapsed="false">
      <c r="A14" s="47" t="n">
        <v>1201</v>
      </c>
      <c r="B14" s="47" t="s">
        <v>258</v>
      </c>
      <c r="C14" s="47" t="s">
        <v>287</v>
      </c>
      <c r="D14" s="47" t="s">
        <v>288</v>
      </c>
      <c r="E14" s="47" t="n">
        <v>1200</v>
      </c>
      <c r="F14" s="47"/>
      <c r="G14" s="47" t="s">
        <v>226</v>
      </c>
      <c r="H14" s="47" t="s">
        <v>233</v>
      </c>
      <c r="I14" s="47" t="s">
        <v>275</v>
      </c>
      <c r="J14" s="55" t="n">
        <v>46307</v>
      </c>
    </row>
    <row r="15" customFormat="false" ht="15" hidden="false" customHeight="false" outlineLevel="0" collapsed="false">
      <c r="A15" s="47" t="n">
        <v>1202</v>
      </c>
      <c r="B15" s="47" t="s">
        <v>262</v>
      </c>
      <c r="C15" s="47" t="s">
        <v>289</v>
      </c>
      <c r="D15" s="47" t="s">
        <v>290</v>
      </c>
      <c r="E15" s="47"/>
      <c r="F15" s="47" t="n">
        <v>1201</v>
      </c>
      <c r="G15" s="47" t="s">
        <v>226</v>
      </c>
      <c r="H15" s="47" t="s">
        <v>233</v>
      </c>
      <c r="I15" s="47" t="s">
        <v>291</v>
      </c>
      <c r="J15" s="55" t="n">
        <v>46308</v>
      </c>
    </row>
    <row r="16" customFormat="false" ht="15" hidden="false" customHeight="false" outlineLevel="0" collapsed="false">
      <c r="A16" s="47" t="n">
        <v>1203</v>
      </c>
      <c r="B16" s="47" t="s">
        <v>258</v>
      </c>
      <c r="C16" s="47" t="s">
        <v>292</v>
      </c>
      <c r="D16" s="47" t="s">
        <v>293</v>
      </c>
      <c r="E16" s="47" t="n">
        <v>1200</v>
      </c>
      <c r="F16" s="47"/>
      <c r="G16" s="47" t="s">
        <v>226</v>
      </c>
      <c r="H16" s="47" t="s">
        <v>233</v>
      </c>
      <c r="I16" s="47" t="s">
        <v>280</v>
      </c>
      <c r="J16" s="55" t="n">
        <v>46307</v>
      </c>
    </row>
    <row r="17" customFormat="false" ht="15" hidden="false" customHeight="false" outlineLevel="0" collapsed="false">
      <c r="A17" s="47" t="n">
        <v>1204</v>
      </c>
      <c r="B17" s="47" t="s">
        <v>262</v>
      </c>
      <c r="C17" s="47" t="s">
        <v>294</v>
      </c>
      <c r="D17" s="47" t="s">
        <v>295</v>
      </c>
      <c r="E17" s="47"/>
      <c r="F17" s="47" t="n">
        <v>1203</v>
      </c>
      <c r="G17" s="47" t="s">
        <v>226</v>
      </c>
      <c r="H17" s="47" t="s">
        <v>233</v>
      </c>
      <c r="I17" s="47" t="s">
        <v>291</v>
      </c>
      <c r="J17" s="55" t="n">
        <v>46308</v>
      </c>
    </row>
    <row r="18" customFormat="false" ht="15" hidden="false" customHeight="false" outlineLevel="0" collapsed="false">
      <c r="A18" s="47" t="n">
        <v>1205</v>
      </c>
      <c r="B18" s="47" t="s">
        <v>258</v>
      </c>
      <c r="C18" s="47" t="s">
        <v>296</v>
      </c>
      <c r="D18" s="47" t="s">
        <v>297</v>
      </c>
      <c r="E18" s="47" t="n">
        <v>1200</v>
      </c>
      <c r="F18" s="47"/>
      <c r="G18" s="47" t="s">
        <v>226</v>
      </c>
      <c r="H18" s="47" t="s">
        <v>234</v>
      </c>
      <c r="I18" s="47" t="s">
        <v>280</v>
      </c>
      <c r="J18" s="55" t="n">
        <v>46307</v>
      </c>
    </row>
    <row r="19" customFormat="false" ht="15" hidden="false" customHeight="false" outlineLevel="0" collapsed="false">
      <c r="A19" s="47" t="n">
        <v>1206</v>
      </c>
      <c r="B19" s="47" t="s">
        <v>262</v>
      </c>
      <c r="C19" s="47" t="s">
        <v>298</v>
      </c>
      <c r="D19" s="47" t="s">
        <v>299</v>
      </c>
      <c r="E19" s="47"/>
      <c r="F19" s="47" t="n">
        <v>1205</v>
      </c>
      <c r="G19" s="47" t="s">
        <v>226</v>
      </c>
      <c r="H19" s="47" t="s">
        <v>234</v>
      </c>
      <c r="I19" s="47" t="s">
        <v>265</v>
      </c>
      <c r="J19" s="55" t="n">
        <v>46308</v>
      </c>
    </row>
    <row r="20" customFormat="false" ht="15" hidden="false" customHeight="false" outlineLevel="0" collapsed="false">
      <c r="A20" s="47" t="n">
        <v>1300</v>
      </c>
      <c r="B20" s="47" t="s">
        <v>254</v>
      </c>
      <c r="C20" s="47" t="s">
        <v>300</v>
      </c>
      <c r="D20" s="47" t="s">
        <v>301</v>
      </c>
      <c r="E20" s="47"/>
      <c r="F20" s="47"/>
      <c r="G20" s="47"/>
      <c r="H20" s="47" t="s">
        <v>235</v>
      </c>
      <c r="I20" s="47" t="s">
        <v>257</v>
      </c>
      <c r="J20" s="55" t="n">
        <v>46314</v>
      </c>
    </row>
    <row r="21" customFormat="false" ht="15" hidden="false" customHeight="false" outlineLevel="0" collapsed="false">
      <c r="A21" s="47" t="n">
        <v>1301</v>
      </c>
      <c r="B21" s="47" t="s">
        <v>258</v>
      </c>
      <c r="C21" s="47" t="s">
        <v>302</v>
      </c>
      <c r="D21" s="47" t="s">
        <v>303</v>
      </c>
      <c r="E21" s="47" t="n">
        <v>1300</v>
      </c>
      <c r="F21" s="47"/>
      <c r="G21" s="47" t="s">
        <v>228</v>
      </c>
      <c r="H21" s="47" t="s">
        <v>233</v>
      </c>
      <c r="I21" s="47" t="s">
        <v>291</v>
      </c>
      <c r="J21" s="55" t="n">
        <v>46312</v>
      </c>
    </row>
    <row r="22" customFormat="false" ht="15" hidden="false" customHeight="false" outlineLevel="0" collapsed="false">
      <c r="A22" s="47" t="n">
        <v>1302</v>
      </c>
      <c r="B22" s="47" t="s">
        <v>262</v>
      </c>
      <c r="C22" s="47" t="s">
        <v>304</v>
      </c>
      <c r="D22" s="47" t="s">
        <v>305</v>
      </c>
      <c r="E22" s="47"/>
      <c r="F22" s="47" t="n">
        <v>1301</v>
      </c>
      <c r="G22" s="47" t="s">
        <v>228</v>
      </c>
      <c r="H22" s="47" t="s">
        <v>229</v>
      </c>
      <c r="I22" s="47" t="s">
        <v>265</v>
      </c>
      <c r="J22" s="55" t="n">
        <v>46313</v>
      </c>
    </row>
    <row r="23" customFormat="false" ht="15" hidden="false" customHeight="false" outlineLevel="0" collapsed="false">
      <c r="A23" s="47" t="n">
        <v>1303</v>
      </c>
      <c r="B23" s="47" t="s">
        <v>258</v>
      </c>
      <c r="C23" s="47" t="s">
        <v>306</v>
      </c>
      <c r="D23" s="47" t="s">
        <v>307</v>
      </c>
      <c r="E23" s="47" t="n">
        <v>1300</v>
      </c>
      <c r="F23" s="47"/>
      <c r="G23" s="47" t="s">
        <v>228</v>
      </c>
      <c r="H23" s="47" t="s">
        <v>235</v>
      </c>
      <c r="I23" s="47" t="s">
        <v>280</v>
      </c>
      <c r="J23" s="55" t="n">
        <v>46312</v>
      </c>
    </row>
    <row r="24" customFormat="false" ht="15" hidden="false" customHeight="false" outlineLevel="0" collapsed="false">
      <c r="A24" s="47" t="n">
        <v>1304</v>
      </c>
      <c r="B24" s="47" t="s">
        <v>262</v>
      </c>
      <c r="C24" s="47" t="s">
        <v>308</v>
      </c>
      <c r="D24" s="47" t="s">
        <v>309</v>
      </c>
      <c r="E24" s="47"/>
      <c r="F24" s="47" t="n">
        <v>1303</v>
      </c>
      <c r="G24" s="47" t="s">
        <v>228</v>
      </c>
      <c r="H24" s="47" t="s">
        <v>235</v>
      </c>
      <c r="I24" s="47" t="s">
        <v>291</v>
      </c>
      <c r="J24" s="55" t="n">
        <v>46313</v>
      </c>
    </row>
    <row r="25" customFormat="false" ht="15" hidden="false" customHeight="false" outlineLevel="0" collapsed="false">
      <c r="A25" s="47" t="n">
        <v>1305</v>
      </c>
      <c r="B25" s="47" t="s">
        <v>258</v>
      </c>
      <c r="C25" s="47" t="s">
        <v>310</v>
      </c>
      <c r="D25" s="47" t="s">
        <v>311</v>
      </c>
      <c r="E25" s="47" t="n">
        <v>1300</v>
      </c>
      <c r="F25" s="47"/>
      <c r="G25" s="47" t="s">
        <v>228</v>
      </c>
      <c r="H25" s="47" t="s">
        <v>233</v>
      </c>
      <c r="I25" s="47" t="s">
        <v>275</v>
      </c>
      <c r="J25" s="55" t="n">
        <v>46312</v>
      </c>
    </row>
    <row r="26" customFormat="false" ht="15" hidden="false" customHeight="false" outlineLevel="0" collapsed="false">
      <c r="A26" s="47" t="n">
        <v>1306</v>
      </c>
      <c r="B26" s="47" t="s">
        <v>262</v>
      </c>
      <c r="C26" s="47" t="s">
        <v>312</v>
      </c>
      <c r="D26" s="47" t="s">
        <v>313</v>
      </c>
      <c r="E26" s="47"/>
      <c r="F26" s="47" t="n">
        <v>1305</v>
      </c>
      <c r="G26" s="47" t="s">
        <v>228</v>
      </c>
      <c r="H26" s="47" t="s">
        <v>234</v>
      </c>
      <c r="I26" s="47" t="s">
        <v>314</v>
      </c>
      <c r="J26" s="55" t="n">
        <v>46313</v>
      </c>
    </row>
    <row r="27" customFormat="false" ht="15" hidden="false" customHeight="false" outlineLevel="0" collapsed="false">
      <c r="A27" s="47" t="n">
        <v>1400</v>
      </c>
      <c r="B27" s="47" t="s">
        <v>254</v>
      </c>
      <c r="C27" s="47" t="s">
        <v>315</v>
      </c>
      <c r="D27" s="47" t="s">
        <v>316</v>
      </c>
      <c r="E27" s="47"/>
      <c r="F27" s="47"/>
      <c r="G27" s="47"/>
      <c r="H27" s="47" t="s">
        <v>236</v>
      </c>
      <c r="I27" s="47" t="s">
        <v>257</v>
      </c>
      <c r="J27" s="55" t="n">
        <v>46319</v>
      </c>
    </row>
    <row r="28" customFormat="false" ht="15" hidden="false" customHeight="false" outlineLevel="0" collapsed="false">
      <c r="A28" s="47" t="n">
        <v>1401</v>
      </c>
      <c r="B28" s="47" t="s">
        <v>258</v>
      </c>
      <c r="C28" s="47" t="s">
        <v>317</v>
      </c>
      <c r="D28" s="47" t="s">
        <v>318</v>
      </c>
      <c r="E28" s="47" t="n">
        <v>1400</v>
      </c>
      <c r="F28" s="47"/>
      <c r="G28" s="47" t="s">
        <v>230</v>
      </c>
      <c r="H28" s="47" t="s">
        <v>233</v>
      </c>
      <c r="I28" s="47" t="s">
        <v>275</v>
      </c>
      <c r="J28" s="55" t="n">
        <v>46317</v>
      </c>
    </row>
    <row r="29" customFormat="false" ht="15" hidden="false" customHeight="false" outlineLevel="0" collapsed="false">
      <c r="A29" s="47" t="n">
        <v>1402</v>
      </c>
      <c r="B29" s="47" t="s">
        <v>262</v>
      </c>
      <c r="C29" s="47" t="s">
        <v>319</v>
      </c>
      <c r="D29" s="47" t="s">
        <v>320</v>
      </c>
      <c r="E29" s="47"/>
      <c r="F29" s="47" t="n">
        <v>1401</v>
      </c>
      <c r="G29" s="47" t="s">
        <v>230</v>
      </c>
      <c r="H29" s="47" t="s">
        <v>229</v>
      </c>
      <c r="I29" s="47" t="s">
        <v>314</v>
      </c>
      <c r="J29" s="55" t="n">
        <v>46318</v>
      </c>
    </row>
    <row r="30" customFormat="false" ht="15" hidden="false" customHeight="false" outlineLevel="0" collapsed="false">
      <c r="A30" s="47" t="n">
        <v>1403</v>
      </c>
      <c r="B30" s="47" t="s">
        <v>258</v>
      </c>
      <c r="C30" s="47" t="s">
        <v>321</v>
      </c>
      <c r="D30" s="47" t="s">
        <v>322</v>
      </c>
      <c r="E30" s="47" t="n">
        <v>1400</v>
      </c>
      <c r="F30" s="47"/>
      <c r="G30" s="47" t="s">
        <v>230</v>
      </c>
      <c r="H30" s="47" t="s">
        <v>236</v>
      </c>
      <c r="I30" s="47" t="s">
        <v>261</v>
      </c>
      <c r="J30" s="55" t="n">
        <v>46317</v>
      </c>
    </row>
    <row r="31" customFormat="false" ht="15" hidden="false" customHeight="false" outlineLevel="0" collapsed="false">
      <c r="A31" s="47" t="n">
        <v>1404</v>
      </c>
      <c r="B31" s="47" t="s">
        <v>262</v>
      </c>
      <c r="C31" s="47" t="s">
        <v>323</v>
      </c>
      <c r="D31" s="47" t="s">
        <v>324</v>
      </c>
      <c r="E31" s="47"/>
      <c r="F31" s="47" t="n">
        <v>1403</v>
      </c>
      <c r="G31" s="47" t="s">
        <v>230</v>
      </c>
      <c r="H31" s="47" t="s">
        <v>236</v>
      </c>
      <c r="I31" s="47" t="s">
        <v>314</v>
      </c>
      <c r="J31" s="55" t="n">
        <v>46318</v>
      </c>
    </row>
    <row r="32" customFormat="false" ht="15" hidden="false" customHeight="false" outlineLevel="0" collapsed="false">
      <c r="A32" s="47" t="n">
        <v>1405</v>
      </c>
      <c r="B32" s="47" t="s">
        <v>258</v>
      </c>
      <c r="C32" s="47" t="s">
        <v>325</v>
      </c>
      <c r="D32" s="47" t="s">
        <v>326</v>
      </c>
      <c r="E32" s="47" t="n">
        <v>1400</v>
      </c>
      <c r="F32" s="47"/>
      <c r="G32" s="47" t="s">
        <v>230</v>
      </c>
      <c r="H32" s="47" t="s">
        <v>234</v>
      </c>
      <c r="I32" s="47" t="s">
        <v>275</v>
      </c>
      <c r="J32" s="55" t="n">
        <v>46317</v>
      </c>
    </row>
    <row r="33" customFormat="false" ht="15" hidden="false" customHeight="false" outlineLevel="0" collapsed="false">
      <c r="A33" s="47" t="n">
        <v>1406</v>
      </c>
      <c r="B33" s="47" t="s">
        <v>262</v>
      </c>
      <c r="C33" s="47" t="s">
        <v>327</v>
      </c>
      <c r="D33" s="47" t="s">
        <v>328</v>
      </c>
      <c r="E33" s="47"/>
      <c r="F33" s="47" t="n">
        <v>1405</v>
      </c>
      <c r="G33" s="47" t="s">
        <v>230</v>
      </c>
      <c r="H33" s="47" t="s">
        <v>237</v>
      </c>
      <c r="I33" s="47" t="s">
        <v>265</v>
      </c>
      <c r="J33" s="55" t="n">
        <v>46318</v>
      </c>
    </row>
    <row r="34" customFormat="false" ht="15" hidden="false" customHeight="false" outlineLevel="0" collapsed="false">
      <c r="A34" s="47" t="n">
        <v>1500</v>
      </c>
      <c r="B34" s="47" t="s">
        <v>254</v>
      </c>
      <c r="C34" s="47" t="s">
        <v>329</v>
      </c>
      <c r="D34" s="47" t="s">
        <v>330</v>
      </c>
      <c r="E34" s="47"/>
      <c r="F34" s="47"/>
      <c r="G34" s="47"/>
      <c r="H34" s="47" t="s">
        <v>331</v>
      </c>
      <c r="I34" s="47" t="s">
        <v>332</v>
      </c>
      <c r="J34" s="55" t="n">
        <v>46322</v>
      </c>
    </row>
    <row r="35" customFormat="false" ht="15" hidden="false" customHeight="false" outlineLevel="0" collapsed="false">
      <c r="A35" s="47" t="n">
        <v>1501</v>
      </c>
      <c r="B35" s="47" t="s">
        <v>258</v>
      </c>
      <c r="C35" s="47" t="s">
        <v>333</v>
      </c>
      <c r="D35" s="47" t="s">
        <v>334</v>
      </c>
      <c r="E35" s="47" t="n">
        <v>1500</v>
      </c>
      <c r="F35" s="47"/>
      <c r="G35" s="47" t="s">
        <v>232</v>
      </c>
      <c r="H35" s="47" t="s">
        <v>237</v>
      </c>
      <c r="I35" s="47" t="s">
        <v>275</v>
      </c>
      <c r="J35" s="55" t="n">
        <v>46320</v>
      </c>
    </row>
    <row r="36" customFormat="false" ht="15" hidden="false" customHeight="false" outlineLevel="0" collapsed="false">
      <c r="A36" s="47" t="n">
        <v>1502</v>
      </c>
      <c r="B36" s="47" t="s">
        <v>262</v>
      </c>
      <c r="C36" s="47" t="s">
        <v>335</v>
      </c>
      <c r="D36" s="47" t="s">
        <v>336</v>
      </c>
      <c r="E36" s="47"/>
      <c r="F36" s="47" t="n">
        <v>1501</v>
      </c>
      <c r="G36" s="47" t="s">
        <v>232</v>
      </c>
      <c r="H36" s="47" t="s">
        <v>233</v>
      </c>
      <c r="I36" s="47" t="s">
        <v>265</v>
      </c>
      <c r="J36" s="55" t="n">
        <v>46321</v>
      </c>
    </row>
    <row r="37" customFormat="false" ht="15" hidden="false" customHeight="false" outlineLevel="0" collapsed="false">
      <c r="A37" s="47" t="n">
        <v>1503</v>
      </c>
      <c r="B37" s="47" t="s">
        <v>258</v>
      </c>
      <c r="C37" s="47" t="s">
        <v>337</v>
      </c>
      <c r="D37" s="47" t="s">
        <v>338</v>
      </c>
      <c r="E37" s="47" t="n">
        <v>1500</v>
      </c>
      <c r="F37" s="47"/>
      <c r="G37" s="47" t="s">
        <v>232</v>
      </c>
      <c r="H37" s="47" t="s">
        <v>227</v>
      </c>
      <c r="I37" s="47" t="s">
        <v>339</v>
      </c>
      <c r="J37" s="55" t="n">
        <v>46320</v>
      </c>
    </row>
    <row r="38" customFormat="false" ht="15" hidden="false" customHeight="false" outlineLevel="0" collapsed="false">
      <c r="A38" s="47" t="n">
        <v>1504</v>
      </c>
      <c r="B38" s="47" t="s">
        <v>262</v>
      </c>
      <c r="C38" s="47" t="s">
        <v>340</v>
      </c>
      <c r="D38" s="47" t="s">
        <v>341</v>
      </c>
      <c r="E38" s="47"/>
      <c r="F38" s="47" t="n">
        <v>1503</v>
      </c>
      <c r="G38" s="47" t="s">
        <v>232</v>
      </c>
      <c r="H38" s="47" t="s">
        <v>227</v>
      </c>
      <c r="I38" s="47" t="s">
        <v>342</v>
      </c>
      <c r="J38" s="55" t="n">
        <v>46321</v>
      </c>
    </row>
    <row r="39" customFormat="false" ht="15" hidden="false" customHeight="false" outlineLevel="0" collapsed="false">
      <c r="A39" s="47" t="n">
        <v>1505</v>
      </c>
      <c r="B39" s="47" t="s">
        <v>258</v>
      </c>
      <c r="C39" s="47" t="s">
        <v>343</v>
      </c>
      <c r="D39" s="47" t="s">
        <v>344</v>
      </c>
      <c r="E39" s="47" t="n">
        <v>1500</v>
      </c>
      <c r="F39" s="47"/>
      <c r="G39" s="47" t="s">
        <v>232</v>
      </c>
      <c r="H39" s="47" t="s">
        <v>238</v>
      </c>
      <c r="I39" s="47" t="s">
        <v>291</v>
      </c>
      <c r="J39" s="55" t="n">
        <v>46320</v>
      </c>
    </row>
    <row r="40" customFormat="false" ht="15" hidden="false" customHeight="false" outlineLevel="0" collapsed="false">
      <c r="A40" s="47" t="n">
        <v>1506</v>
      </c>
      <c r="B40" s="47" t="s">
        <v>262</v>
      </c>
      <c r="C40" s="47" t="s">
        <v>345</v>
      </c>
      <c r="D40" s="47" t="s">
        <v>346</v>
      </c>
      <c r="E40" s="47"/>
      <c r="F40" s="47" t="n">
        <v>1505</v>
      </c>
      <c r="G40" s="47" t="s">
        <v>232</v>
      </c>
      <c r="H40" s="47" t="s">
        <v>238</v>
      </c>
      <c r="I40" s="47" t="s">
        <v>265</v>
      </c>
      <c r="J40" s="55" t="n">
        <v>46321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2026-10-26T21:36:27Z</dcterms:created>
  <dc:creator>openpyxl</dc:creator>
  <dc:description/>
  <dc:language>en-US</dc:language>
  <cp:lastModifiedBy/>
  <dcterms:modified xsi:type="dcterms:W3CDTF">2026-10-26T21:36:28Z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